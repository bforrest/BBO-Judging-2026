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dgeInfo" sheetId="1" r:id="rId4"/>
    <sheet state="visible" name="Dallas" sheetId="2" r:id="rId5"/>
    <sheet state="visible" name="Grapevine" sheetId="3" r:id="rId6"/>
    <sheet state="visible" name="Arlington" sheetId="4" r:id="rId7"/>
    <sheet state="visible" name="Keller" sheetId="5" r:id="rId8"/>
  </sheets>
  <definedNames/>
  <calcPr/>
</workbook>
</file>

<file path=xl/sharedStrings.xml><?xml version="1.0" encoding="utf-8"?>
<sst xmlns="http://schemas.openxmlformats.org/spreadsheetml/2006/main" count="1355" uniqueCount="614">
  <si>
    <t>JUDGE STATUS</t>
  </si>
  <si>
    <t>JUDGE RANKING DESCRIPTION</t>
  </si>
  <si>
    <t>JUDGE GROUP</t>
  </si>
  <si>
    <t>First Name</t>
  </si>
  <si>
    <t>Last Name</t>
  </si>
  <si>
    <t>STREET ADDRESS</t>
  </si>
  <si>
    <t>City</t>
  </si>
  <si>
    <t>Phone Number</t>
  </si>
  <si>
    <t>Email Address</t>
  </si>
  <si>
    <t>MILES FROM DALLAS SITE5</t>
  </si>
  <si>
    <t>MILES FROM GRAPEVINE SITE1</t>
  </si>
  <si>
    <t>MILES FROM ARLINGTON SITE2</t>
  </si>
  <si>
    <t>MILES FROM STUBBIES SITE3</t>
  </si>
  <si>
    <t>MILES FROM MATTS SITE4</t>
  </si>
  <si>
    <t>BJCP ID</t>
  </si>
  <si>
    <t>BJCP Rank</t>
  </si>
  <si>
    <t>Mead Certified?</t>
  </si>
  <si>
    <t>Cider Certified?</t>
  </si>
  <si>
    <t>CLUB AFFILIATION</t>
  </si>
  <si>
    <t>TABLES JUDGED 2025</t>
  </si>
  <si>
    <t>Closest Site</t>
  </si>
  <si>
    <t>ACTIVE</t>
  </si>
  <si>
    <t>ACTIVE JUDGES NON BJCP</t>
  </si>
  <si>
    <t>Harry</t>
  </si>
  <si>
    <t>Anderson</t>
  </si>
  <si>
    <t>3101 Oak Hollow Dr</t>
  </si>
  <si>
    <t>Plano</t>
  </si>
  <si>
    <t>harryanderson3@verizon.net</t>
  </si>
  <si>
    <t/>
  </si>
  <si>
    <t>Steve</t>
  </si>
  <si>
    <t>Ballantyne</t>
  </si>
  <si>
    <t>577 Camber St</t>
  </si>
  <si>
    <t>Saginaw</t>
  </si>
  <si>
    <t>(651) 528-1680</t>
  </si>
  <si>
    <t>slijb16@yahoo.com</t>
  </si>
  <si>
    <t>NULL</t>
  </si>
  <si>
    <t>Horsemen of the Hopocalypse</t>
  </si>
  <si>
    <t>Jonathan</t>
  </si>
  <si>
    <t>Barrows</t>
  </si>
  <si>
    <t>2122 El Dorado Way</t>
  </si>
  <si>
    <t>Carrollton</t>
  </si>
  <si>
    <t>slackerlack@gmail.com</t>
  </si>
  <si>
    <t xml:space="preserve">ACTIVE JUDGES CERTIFIED </t>
  </si>
  <si>
    <t>John</t>
  </si>
  <si>
    <t>Bates</t>
  </si>
  <si>
    <t>1033 Evendale Rd</t>
  </si>
  <si>
    <t>Burleson</t>
  </si>
  <si>
    <t>214-608-6152</t>
  </si>
  <si>
    <t>jcbates61@hotmail.com</t>
  </si>
  <si>
    <t>F1264</t>
  </si>
  <si>
    <t>Certified</t>
  </si>
  <si>
    <t>1</t>
  </si>
  <si>
    <t>INACTIVE</t>
  </si>
  <si>
    <t>INACTIVE JUDGES RECOGNIZED</t>
  </si>
  <si>
    <t>Melinda</t>
  </si>
  <si>
    <t>Beyer</t>
  </si>
  <si>
    <t>972-951-5515</t>
  </si>
  <si>
    <t>mjbeyer8@gmail.com</t>
  </si>
  <si>
    <t>F0487</t>
  </si>
  <si>
    <t>Recognized</t>
  </si>
  <si>
    <t>Conrad</t>
  </si>
  <si>
    <t>Bituin</t>
  </si>
  <si>
    <t>Wylie</t>
  </si>
  <si>
    <t>469-364-9266</t>
  </si>
  <si>
    <t>inbituinthebrew@gmail.com</t>
  </si>
  <si>
    <t>G1449</t>
  </si>
  <si>
    <t>Evan</t>
  </si>
  <si>
    <t>Brady</t>
  </si>
  <si>
    <t>4900 Pear Ridge Dr. Apt. 703</t>
  </si>
  <si>
    <t>Dallas</t>
  </si>
  <si>
    <t>ebrady50@gmail.com</t>
  </si>
  <si>
    <t>F1500</t>
  </si>
  <si>
    <t>CERTIFED</t>
  </si>
  <si>
    <t>Kevin</t>
  </si>
  <si>
    <t>Brooker</t>
  </si>
  <si>
    <t>1035 Trail Ridge Court</t>
  </si>
  <si>
    <t>Keller</t>
  </si>
  <si>
    <t>817-403-5938</t>
  </si>
  <si>
    <t>krbrooker@verizon.net</t>
  </si>
  <si>
    <t>A0369</t>
  </si>
  <si>
    <t>Vicki</t>
  </si>
  <si>
    <t>Brown</t>
  </si>
  <si>
    <t>5032 Ridgeview Ct</t>
  </si>
  <si>
    <t>North Richland Hills</t>
  </si>
  <si>
    <t>817-581-8509</t>
  </si>
  <si>
    <t>vmbrown@flash.net</t>
  </si>
  <si>
    <t>F0285</t>
  </si>
  <si>
    <t>Distinguished Certified</t>
  </si>
  <si>
    <t>Steven</t>
  </si>
  <si>
    <t>(817) 368-0892</t>
  </si>
  <si>
    <t>slb@flash.net</t>
  </si>
  <si>
    <t>F0286</t>
  </si>
  <si>
    <t>Cap and Hare Homebrew Club</t>
  </si>
  <si>
    <t>Jody</t>
  </si>
  <si>
    <t>Cromeans</t>
  </si>
  <si>
    <t>1008 Harbor Drive South</t>
  </si>
  <si>
    <t>Azle</t>
  </si>
  <si>
    <t>817-9333-2539</t>
  </si>
  <si>
    <t>jwcromeans@bellflight.com</t>
  </si>
  <si>
    <t>Christopher</t>
  </si>
  <si>
    <t>Crowley</t>
  </si>
  <si>
    <t>8323787022</t>
  </si>
  <si>
    <t>catholickid@gmail.com</t>
  </si>
  <si>
    <t>E3909</t>
  </si>
  <si>
    <t>INACTIVE JUDGES CERTIFIED</t>
  </si>
  <si>
    <t>Nigel</t>
  </si>
  <si>
    <t>Curtis</t>
  </si>
  <si>
    <t>4029 Chisos Rim Trail</t>
  </si>
  <si>
    <t>Fort Worth</t>
  </si>
  <si>
    <t>682-478-8604</t>
  </si>
  <si>
    <t>nigelcurtis@att.net</t>
  </si>
  <si>
    <t>F1361</t>
  </si>
  <si>
    <t>Bryce</t>
  </si>
  <si>
    <t>DeShazo</t>
  </si>
  <si>
    <t>1510 Randolph St #206</t>
  </si>
  <si>
    <t>Carrolton</t>
  </si>
  <si>
    <t>foxandravenmead@gmail.com</t>
  </si>
  <si>
    <t xml:space="preserve">ACTIVE JUDGES NEW CERTIFIED </t>
  </si>
  <si>
    <t>Kat</t>
  </si>
  <si>
    <t>Desquitado</t>
  </si>
  <si>
    <t>Lancaster</t>
  </si>
  <si>
    <t>katbarcarse@gmail.com</t>
  </si>
  <si>
    <t>F1501</t>
  </si>
  <si>
    <t>No</t>
  </si>
  <si>
    <t>James</t>
  </si>
  <si>
    <t>Duke</t>
  </si>
  <si>
    <t>812 Central Dr</t>
  </si>
  <si>
    <t>Colleyville</t>
  </si>
  <si>
    <t>310-908-2684</t>
  </si>
  <si>
    <t>dukejh3@utexas.edu</t>
  </si>
  <si>
    <t>F1360</t>
  </si>
  <si>
    <t>Dianne</t>
  </si>
  <si>
    <t>812 Central Drive</t>
  </si>
  <si>
    <t>8172716793</t>
  </si>
  <si>
    <t>dianne.duke72@gmail.com</t>
  </si>
  <si>
    <t>Michael</t>
  </si>
  <si>
    <t>Dwyer</t>
  </si>
  <si>
    <t>3800 Pebble Beach Ct</t>
  </si>
  <si>
    <t>The Colony</t>
  </si>
  <si>
    <t>mydwyer@gmail.com</t>
  </si>
  <si>
    <t>Clifton</t>
  </si>
  <si>
    <t>Ellis</t>
  </si>
  <si>
    <t>Weatherford</t>
  </si>
  <si>
    <t>817-597-5750</t>
  </si>
  <si>
    <t>csellis5750@gmail.com</t>
  </si>
  <si>
    <t>F1161</t>
  </si>
  <si>
    <t>ACTIVE JUDGES CERTIFIED</t>
  </si>
  <si>
    <t>Scott</t>
  </si>
  <si>
    <t>Eppelman</t>
  </si>
  <si>
    <t>Coppell</t>
  </si>
  <si>
    <t>214-566-0415</t>
  </si>
  <si>
    <t>scottepp1@verizon.net</t>
  </si>
  <si>
    <t>E0134</t>
  </si>
  <si>
    <t>Terry Lynn</t>
  </si>
  <si>
    <t>Faught</t>
  </si>
  <si>
    <t>terrylynnf@gmail.com</t>
  </si>
  <si>
    <t>F1487</t>
  </si>
  <si>
    <t>Mead Judge</t>
  </si>
  <si>
    <t>Yes</t>
  </si>
  <si>
    <t>Marcio</t>
  </si>
  <si>
    <t>Fazzani</t>
  </si>
  <si>
    <t>1539 Stellar Truth Way</t>
  </si>
  <si>
    <t>marcio.fazzani@hotmail.com</t>
  </si>
  <si>
    <t>F1499</t>
  </si>
  <si>
    <t>CERTIFIED</t>
  </si>
  <si>
    <t>Nathan</t>
  </si>
  <si>
    <t>Fenster</t>
  </si>
  <si>
    <t>4521 Fargo Drive</t>
  </si>
  <si>
    <t>214-499-2434</t>
  </si>
  <si>
    <t>nfenster@gmail.com</t>
  </si>
  <si>
    <t>F0747</t>
  </si>
  <si>
    <t>Barry</t>
  </si>
  <si>
    <t>Forrest</t>
  </si>
  <si>
    <t>4115 West Creek Court</t>
  </si>
  <si>
    <t>940-435-8456</t>
  </si>
  <si>
    <t>bforrest30@gmail.com</t>
  </si>
  <si>
    <t>F1355</t>
  </si>
  <si>
    <t>Galletto</t>
  </si>
  <si>
    <t>6215 Creek Crossing</t>
  </si>
  <si>
    <t>Alvarado</t>
  </si>
  <si>
    <t>galletto.chris@gmail.com</t>
  </si>
  <si>
    <t>Amanda</t>
  </si>
  <si>
    <t>Garland</t>
  </si>
  <si>
    <t>3122 Meadowood Drive</t>
  </si>
  <si>
    <t>amandagarland85@gmail.com</t>
  </si>
  <si>
    <t>ACTIVE JUDGES NATIONAL</t>
  </si>
  <si>
    <t>Erich</t>
  </si>
  <si>
    <t>Gens</t>
  </si>
  <si>
    <t>2022 Stonemont Ct</t>
  </si>
  <si>
    <t>Allen</t>
  </si>
  <si>
    <t>469-667-3558</t>
  </si>
  <si>
    <t>erich.gens@att.net</t>
  </si>
  <si>
    <t>F0396</t>
  </si>
  <si>
    <t>National</t>
  </si>
  <si>
    <t>Harry L.</t>
  </si>
  <si>
    <t>Gharis</t>
  </si>
  <si>
    <t>214-460-5697</t>
  </si>
  <si>
    <t>lgharis@swbell.net</t>
  </si>
  <si>
    <t>F0397</t>
  </si>
  <si>
    <t>Nicholas</t>
  </si>
  <si>
    <t>Goodman</t>
  </si>
  <si>
    <t>Bedford</t>
  </si>
  <si>
    <t>817-875-7391</t>
  </si>
  <si>
    <t>nick.goodman@gmail.com</t>
  </si>
  <si>
    <t>F0345</t>
  </si>
  <si>
    <t>James P</t>
  </si>
  <si>
    <t>Grady</t>
  </si>
  <si>
    <t>Grand Prairie</t>
  </si>
  <si>
    <t>972-606-4856</t>
  </si>
  <si>
    <t>jimgrady_57@yahoo.com</t>
  </si>
  <si>
    <t>A0360</t>
  </si>
  <si>
    <t>Knights of the Brown Bottle</t>
  </si>
  <si>
    <t>Keith</t>
  </si>
  <si>
    <t>Green</t>
  </si>
  <si>
    <t>Denton</t>
  </si>
  <si>
    <t>469-693-8232</t>
  </si>
  <si>
    <t>NorthTexasKEG@gmail.com</t>
  </si>
  <si>
    <t>F1227</t>
  </si>
  <si>
    <t>Mike</t>
  </si>
  <si>
    <t>Grover</t>
  </si>
  <si>
    <t>1939 Castille Dr</t>
  </si>
  <si>
    <t>(817) 705-5245</t>
  </si>
  <si>
    <t>mikeggrover@aol.com</t>
  </si>
  <si>
    <t>F0293</t>
  </si>
  <si>
    <t>Joshua</t>
  </si>
  <si>
    <t>Hayes</t>
  </si>
  <si>
    <t>7108 Sunburst Trl</t>
  </si>
  <si>
    <t>936-444-6483</t>
  </si>
  <si>
    <t>hayes.cbcmedia@gmail.com</t>
  </si>
  <si>
    <t>F1460</t>
  </si>
  <si>
    <t>Jorge</t>
  </si>
  <si>
    <t>Hernandez</t>
  </si>
  <si>
    <t>9607 Custer Rd Apt 716</t>
  </si>
  <si>
    <t>jmhern2019@gmail.com</t>
  </si>
  <si>
    <t>ACTIVE JUDGES CERTIFIED MEAD ONLY</t>
  </si>
  <si>
    <t>Carlos</t>
  </si>
  <si>
    <t>Herrera</t>
  </si>
  <si>
    <t>3908 Betty St</t>
  </si>
  <si>
    <t>Rockwall</t>
  </si>
  <si>
    <t>972-898-1865</t>
  </si>
  <si>
    <t>purpleheart2127@gmail.com</t>
  </si>
  <si>
    <t>F1375</t>
  </si>
  <si>
    <t>Craig</t>
  </si>
  <si>
    <t>Hewitt</t>
  </si>
  <si>
    <t>crhewitt70@gmail.com</t>
  </si>
  <si>
    <t>D1765</t>
  </si>
  <si>
    <t>ACTIVE JUDGES NEW RECOGNIZED</t>
  </si>
  <si>
    <t>Douglas</t>
  </si>
  <si>
    <t>Hicks</t>
  </si>
  <si>
    <t>Lewisville</t>
  </si>
  <si>
    <t>doug.hicks@yahoo.com</t>
  </si>
  <si>
    <t>F1498</t>
  </si>
  <si>
    <t>Walter</t>
  </si>
  <si>
    <t>Hodges</t>
  </si>
  <si>
    <t>2203 Le Mans Dr</t>
  </si>
  <si>
    <t>214-244-2144</t>
  </si>
  <si>
    <t>wally712@verizon.net</t>
  </si>
  <si>
    <t>F1301</t>
  </si>
  <si>
    <t>INACTIVE JUDGES NATIONAL</t>
  </si>
  <si>
    <t>Stephen R.</t>
  </si>
  <si>
    <t>Holle</t>
  </si>
  <si>
    <t>214-690-2412</t>
  </si>
  <si>
    <t>SteveHolle@aol.com</t>
  </si>
  <si>
    <t>A0144</t>
  </si>
  <si>
    <t>Andrew</t>
  </si>
  <si>
    <t>Huerter</t>
  </si>
  <si>
    <t>913-406-3608</t>
  </si>
  <si>
    <t>Andrew.Huerter@gmail.com</t>
  </si>
  <si>
    <t>C0645</t>
  </si>
  <si>
    <t>Brett</t>
  </si>
  <si>
    <t>Johnson</t>
  </si>
  <si>
    <t>724 Lake Carolyn Pkwy Apt 238</t>
  </si>
  <si>
    <t>Irving</t>
  </si>
  <si>
    <t>johnson.a.brett@gmail.com</t>
  </si>
  <si>
    <t>INACTIVE JUDGES NEW CERTIFIED</t>
  </si>
  <si>
    <t>David</t>
  </si>
  <si>
    <t>Ft Worth</t>
  </si>
  <si>
    <t>johnsonokc@yahoo.com</t>
  </si>
  <si>
    <t>F0740</t>
  </si>
  <si>
    <t>Einar</t>
  </si>
  <si>
    <t>Jonsson</t>
  </si>
  <si>
    <t>214-870-9690</t>
  </si>
  <si>
    <t>Ejonsson@sbcglobal.net</t>
  </si>
  <si>
    <t>F0548</t>
  </si>
  <si>
    <t>Tina</t>
  </si>
  <si>
    <t>Kanaby</t>
  </si>
  <si>
    <t>724 Lake Carolyn Pkwy, Apt 238</t>
  </si>
  <si>
    <t>tinakanaby07@gmail.com</t>
  </si>
  <si>
    <t>ACTIVE JUDGES RECOGNIZED</t>
  </si>
  <si>
    <t>Jerry</t>
  </si>
  <si>
    <t>Keeney</t>
  </si>
  <si>
    <t>Grapevine</t>
  </si>
  <si>
    <t>971-400-1968</t>
  </si>
  <si>
    <t>jerry@keeney.one</t>
  </si>
  <si>
    <t>F1461</t>
  </si>
  <si>
    <t>Karl</t>
  </si>
  <si>
    <t>King</t>
  </si>
  <si>
    <t>4009 Deepwood</t>
  </si>
  <si>
    <t>817-657-3569</t>
  </si>
  <si>
    <t>kaltenburg@yahoo.com</t>
  </si>
  <si>
    <t>A0366</t>
  </si>
  <si>
    <t>Jamison</t>
  </si>
  <si>
    <t>Kirmser</t>
  </si>
  <si>
    <t>1302 Willowbrook</t>
  </si>
  <si>
    <t>Arlington</t>
  </si>
  <si>
    <t>817-223-5587</t>
  </si>
  <si>
    <t>jamisonkirmser@gmail.com</t>
  </si>
  <si>
    <t>F0287</t>
  </si>
  <si>
    <t>Tierney</t>
  </si>
  <si>
    <t>Klee</t>
  </si>
  <si>
    <t>3521 Wicklow Court</t>
  </si>
  <si>
    <t>tierney.tanner@yahoo.com</t>
  </si>
  <si>
    <t>3521 Wicklow Ct</t>
  </si>
  <si>
    <t>jklee2112@yahoo.com</t>
  </si>
  <si>
    <t>Lallande</t>
  </si>
  <si>
    <t>10617 Big Oak Drive</t>
  </si>
  <si>
    <t>817-907-6599</t>
  </si>
  <si>
    <t>jameslallande@gmail.com</t>
  </si>
  <si>
    <t>F0288</t>
  </si>
  <si>
    <t>Grand Master IV</t>
  </si>
  <si>
    <t>2</t>
  </si>
  <si>
    <t>LaPointe</t>
  </si>
  <si>
    <t>4820 Dogleg Drive</t>
  </si>
  <si>
    <t>Halton City</t>
  </si>
  <si>
    <t>817-291-0056</t>
  </si>
  <si>
    <t>F0480</t>
  </si>
  <si>
    <t>William</t>
  </si>
  <si>
    <t>Lawrence</t>
  </si>
  <si>
    <t>2008 Glen Meadow Ct</t>
  </si>
  <si>
    <t>Richardson</t>
  </si>
  <si>
    <t>1(214) 632-8624</t>
  </si>
  <si>
    <t>william.john.lawrence55@gmail.com</t>
  </si>
  <si>
    <t>Littel</t>
  </si>
  <si>
    <t>8009 Greensboro Dr</t>
  </si>
  <si>
    <t>214-973-1058</t>
  </si>
  <si>
    <t>slittel@verizon.net</t>
  </si>
  <si>
    <t>F1457</t>
  </si>
  <si>
    <t>Dave</t>
  </si>
  <si>
    <t>Littleton</t>
  </si>
  <si>
    <t>17115 Bullaye Way</t>
  </si>
  <si>
    <t>dlittleton@halff.com</t>
  </si>
  <si>
    <t>Long</t>
  </si>
  <si>
    <t>2200 Lindblad Ct.</t>
  </si>
  <si>
    <t>281-435-6796</t>
  </si>
  <si>
    <t>amandakttx@yahoo.com</t>
  </si>
  <si>
    <t>F1356</t>
  </si>
  <si>
    <t>Jarrett</t>
  </si>
  <si>
    <t>713-962-2393</t>
  </si>
  <si>
    <t>jarrettlong@hotmail.com</t>
  </si>
  <si>
    <t>F1357</t>
  </si>
  <si>
    <t>Marius</t>
  </si>
  <si>
    <t>222 Browder St. Apt 303</t>
  </si>
  <si>
    <t>2144764235</t>
  </si>
  <si>
    <t>keith@twinbridgesbrewingco.com</t>
  </si>
  <si>
    <t>Brandon</t>
  </si>
  <si>
    <t>Martin</t>
  </si>
  <si>
    <t>13313 Willow Creek Dr</t>
  </si>
  <si>
    <t>Haslet</t>
  </si>
  <si>
    <t>682-438-8607</t>
  </si>
  <si>
    <t>brandontherep@gmail.com</t>
  </si>
  <si>
    <t>F0716</t>
  </si>
  <si>
    <t>Marut</t>
  </si>
  <si>
    <t>2325 Aster Ave</t>
  </si>
  <si>
    <t>jkmarut@gmail.com</t>
  </si>
  <si>
    <t>Mark</t>
  </si>
  <si>
    <t>McCurdy</t>
  </si>
  <si>
    <t>2732 Greenbrook Court</t>
  </si>
  <si>
    <t>817-734-3380</t>
  </si>
  <si>
    <t>qman56@gmail.com</t>
  </si>
  <si>
    <t>E3908</t>
  </si>
  <si>
    <t>Melton</t>
  </si>
  <si>
    <t>3505 Katrine St</t>
  </si>
  <si>
    <t>Haltom City</t>
  </si>
  <si>
    <t>inchesofmercury@yahoo.com</t>
  </si>
  <si>
    <t>Tim</t>
  </si>
  <si>
    <t>Mercer</t>
  </si>
  <si>
    <t>1280 Handkerchief Way</t>
  </si>
  <si>
    <t>(817) 229-7847</t>
  </si>
  <si>
    <t>tim.mercer@verizon.net</t>
  </si>
  <si>
    <t>Meyer</t>
  </si>
  <si>
    <t>2070 Aberdeen Ln</t>
  </si>
  <si>
    <t>kdog311@gmail.com</t>
  </si>
  <si>
    <t>Max</t>
  </si>
  <si>
    <t>Milan</t>
  </si>
  <si>
    <t>808 Morning Glory Lane</t>
  </si>
  <si>
    <t>(904) 814-9010</t>
  </si>
  <si>
    <t>maxmilan4@gmail.com</t>
  </si>
  <si>
    <t>Montgomery</t>
  </si>
  <si>
    <t>7519 Millingston</t>
  </si>
  <si>
    <t>678-925-7170</t>
  </si>
  <si>
    <t>brandon.montgomery@gmail.com</t>
  </si>
  <si>
    <t>G1706</t>
  </si>
  <si>
    <t>Eric</t>
  </si>
  <si>
    <t>Morgan</t>
  </si>
  <si>
    <t>17811 Davenport Rd #11</t>
  </si>
  <si>
    <t>Mckinney</t>
  </si>
  <si>
    <t>916-871-3541</t>
  </si>
  <si>
    <t>eric@nthbs.com</t>
  </si>
  <si>
    <t>F1456</t>
  </si>
  <si>
    <t>Seth</t>
  </si>
  <si>
    <t>214-298-5500</t>
  </si>
  <si>
    <t>cheers@dentoncbc.com</t>
  </si>
  <si>
    <t>F1230</t>
  </si>
  <si>
    <t>Denton County Homebrewers Guild</t>
  </si>
  <si>
    <t>Matt</t>
  </si>
  <si>
    <t>Morriss</t>
  </si>
  <si>
    <t>8458 Big Cypress Ct</t>
  </si>
  <si>
    <t>817-821-1637</t>
  </si>
  <si>
    <t>blackhorse@hopocalypse.org</t>
  </si>
  <si>
    <t>F0399</t>
  </si>
  <si>
    <t>Reni</t>
  </si>
  <si>
    <t>817-915-8004</t>
  </si>
  <si>
    <t>renimorriss@gmail.com</t>
  </si>
  <si>
    <t>F1354</t>
  </si>
  <si>
    <t>Mosher</t>
  </si>
  <si>
    <t>1316 Nicole Way</t>
  </si>
  <si>
    <t>817-937-3992</t>
  </si>
  <si>
    <t>jamosher68@gmail.com</t>
  </si>
  <si>
    <t>F0829</t>
  </si>
  <si>
    <t>Moss</t>
  </si>
  <si>
    <t>12532 Pepperidge Ave</t>
  </si>
  <si>
    <t>thaimoss@hotmail.com</t>
  </si>
  <si>
    <t>Mullis</t>
  </si>
  <si>
    <t>1408 Verbena Lane</t>
  </si>
  <si>
    <t>Lantana</t>
  </si>
  <si>
    <t>scemullis@hotmail.com</t>
  </si>
  <si>
    <t>Stacy</t>
  </si>
  <si>
    <t>Myers</t>
  </si>
  <si>
    <t>8471 Big Cypress Court</t>
  </si>
  <si>
    <t>(817) 602-7906</t>
  </si>
  <si>
    <t>texasags92@gmail.com</t>
  </si>
  <si>
    <t>Newcomb</t>
  </si>
  <si>
    <t>5612 Trail Lake Drive</t>
  </si>
  <si>
    <t>972-467-7783</t>
  </si>
  <si>
    <t>newcomb218@gmail.com</t>
  </si>
  <si>
    <t>F1263</t>
  </si>
  <si>
    <t>Terry</t>
  </si>
  <si>
    <t>Olinger</t>
  </si>
  <si>
    <t>1309 Lombardy Way</t>
  </si>
  <si>
    <t>214-310-2494</t>
  </si>
  <si>
    <t>terryolinger85@gmail.com</t>
  </si>
  <si>
    <t>F1458</t>
  </si>
  <si>
    <t>Nicole</t>
  </si>
  <si>
    <t>Pena</t>
  </si>
  <si>
    <t>444 W Pleasantview Dr</t>
  </si>
  <si>
    <t>Hurst</t>
  </si>
  <si>
    <t>(817) 269-6941</t>
  </si>
  <si>
    <t>tinyhomebrewer@gmail.com</t>
  </si>
  <si>
    <t>Anthony</t>
  </si>
  <si>
    <t>Perea</t>
  </si>
  <si>
    <t>972-312-9094</t>
  </si>
  <si>
    <t>acperea@aol.com</t>
  </si>
  <si>
    <t>F0553</t>
  </si>
  <si>
    <t>INACTIVE JUDGES NEW RECOGNIZED</t>
  </si>
  <si>
    <t>Tyler</t>
  </si>
  <si>
    <t>Peters</t>
  </si>
  <si>
    <t>tyler.peters.phd@gmail.com</t>
  </si>
  <si>
    <t>F1496</t>
  </si>
  <si>
    <t>Joel</t>
  </si>
  <si>
    <t>Plutchak</t>
  </si>
  <si>
    <t>940-218-1852</t>
  </si>
  <si>
    <t>plutchak@hotmail.com</t>
  </si>
  <si>
    <t>C0239</t>
  </si>
  <si>
    <t>Jeff</t>
  </si>
  <si>
    <t>Poirot</t>
  </si>
  <si>
    <t>817-681-4186</t>
  </si>
  <si>
    <t>jeffpoirot73@gmail.com</t>
  </si>
  <si>
    <t>E3906</t>
  </si>
  <si>
    <t>Travis</t>
  </si>
  <si>
    <t>Pollan</t>
  </si>
  <si>
    <t>5805 Village Glen Trail</t>
  </si>
  <si>
    <t>817-996-3820</t>
  </si>
  <si>
    <t>travis.pollan@gmail.com</t>
  </si>
  <si>
    <t>F0980</t>
  </si>
  <si>
    <t>Porter</t>
  </si>
  <si>
    <t>Temple</t>
  </si>
  <si>
    <t>817-946-9786</t>
  </si>
  <si>
    <t>portfam97@gmail.com</t>
  </si>
  <si>
    <t>A0207</t>
  </si>
  <si>
    <t>Randy</t>
  </si>
  <si>
    <t>Rancier</t>
  </si>
  <si>
    <t>501 Highland Dr Apt 1133</t>
  </si>
  <si>
    <t>Flower Mound</t>
  </si>
  <si>
    <t>817-897-6094</t>
  </si>
  <si>
    <t>randy.rancier@gmail.com</t>
  </si>
  <si>
    <t>D0113</t>
  </si>
  <si>
    <t>Rendon</t>
  </si>
  <si>
    <t>214-616-3048</t>
  </si>
  <si>
    <t>jmrendonmd@gmail.com</t>
  </si>
  <si>
    <t>F1459</t>
  </si>
  <si>
    <t>Richard</t>
  </si>
  <si>
    <t>4003 Western St</t>
  </si>
  <si>
    <t>ntxbeer@gmail.com</t>
  </si>
  <si>
    <t>Rollins</t>
  </si>
  <si>
    <t>4912 Susan Lee Lane</t>
  </si>
  <si>
    <t>(817) 901-2768</t>
  </si>
  <si>
    <t>brewingporter@gmail.com</t>
  </si>
  <si>
    <t>Russell</t>
  </si>
  <si>
    <t>8712 Maryland Ct  Denton, Tx 76207</t>
  </si>
  <si>
    <t>1(407) 474-1234</t>
  </si>
  <si>
    <t>steve.russell@russellpc.net</t>
  </si>
  <si>
    <t>F1231</t>
  </si>
  <si>
    <t>Fritz</t>
  </si>
  <si>
    <t>Schanz</t>
  </si>
  <si>
    <t>11511 Michaels Lane</t>
  </si>
  <si>
    <t>Aubrey</t>
  </si>
  <si>
    <t>940-300-4819</t>
  </si>
  <si>
    <t>fritz.schanz@gmail.com</t>
  </si>
  <si>
    <t>F1229</t>
  </si>
  <si>
    <t>Brian</t>
  </si>
  <si>
    <t>Schoolcraft</t>
  </si>
  <si>
    <t>3240 Scenic Hills Dr</t>
  </si>
  <si>
    <t>817-905-2735</t>
  </si>
  <si>
    <t>bsbrewery@gmail.com</t>
  </si>
  <si>
    <t>A0367</t>
  </si>
  <si>
    <t>Distinguished National</t>
  </si>
  <si>
    <t>Charlie</t>
  </si>
  <si>
    <t>Scudder</t>
  </si>
  <si>
    <t>1513 Azalea Drive</t>
  </si>
  <si>
    <t>817-301-5645</t>
  </si>
  <si>
    <t>cpfscudder@gmail.com</t>
  </si>
  <si>
    <t>F1359</t>
  </si>
  <si>
    <t>Shank</t>
  </si>
  <si>
    <t>1208 Sunrise Dr.</t>
  </si>
  <si>
    <t>817-431-0492</t>
  </si>
  <si>
    <t>Nanuk099@msn.com</t>
  </si>
  <si>
    <t>A0363</t>
  </si>
  <si>
    <t>Tony</t>
  </si>
  <si>
    <t>Silveira</t>
  </si>
  <si>
    <t>6295 Stockwell Dr</t>
  </si>
  <si>
    <t>Frisco</t>
  </si>
  <si>
    <t>2ndwindbrew@gmail.com</t>
  </si>
  <si>
    <t>Anupam</t>
  </si>
  <si>
    <t>Singhal</t>
  </si>
  <si>
    <t>4625 Willow Lane</t>
  </si>
  <si>
    <t>(214) 724-7927</t>
  </si>
  <si>
    <t>nupe.singhal@gmail.com</t>
  </si>
  <si>
    <t>Skelton</t>
  </si>
  <si>
    <t>452 Sagebrush Dr</t>
  </si>
  <si>
    <t>Aledo</t>
  </si>
  <si>
    <t>210-387-7591</t>
  </si>
  <si>
    <t>jwskelton@gmail.com</t>
  </si>
  <si>
    <t>F1358</t>
  </si>
  <si>
    <t>Sutton</t>
  </si>
  <si>
    <t>131 Windsor Drive</t>
  </si>
  <si>
    <t>Murphy</t>
  </si>
  <si>
    <t>(972) 757-4469</t>
  </si>
  <si>
    <t>jrsutton1@gmail.com</t>
  </si>
  <si>
    <t>Alf</t>
  </si>
  <si>
    <t>Syftestad</t>
  </si>
  <si>
    <t>4919 Chilton Drive</t>
  </si>
  <si>
    <t>916-521-5857</t>
  </si>
  <si>
    <t>a.syftestad@gmail.com</t>
  </si>
  <si>
    <t>F1455</t>
  </si>
  <si>
    <t>Angi</t>
  </si>
  <si>
    <t>Thomas</t>
  </si>
  <si>
    <t>3001 Communication Parkway Apt 2112</t>
  </si>
  <si>
    <t>angi.thomas@yahoo.com</t>
  </si>
  <si>
    <t>Tiensvoid</t>
  </si>
  <si>
    <t>briantiensvold@yahoo.com</t>
  </si>
  <si>
    <t>F1236</t>
  </si>
  <si>
    <t>Ronnie</t>
  </si>
  <si>
    <t>Tiner</t>
  </si>
  <si>
    <t>1434 Oakwood Dr</t>
  </si>
  <si>
    <t>Stephenville</t>
  </si>
  <si>
    <t>254-396-4338</t>
  </si>
  <si>
    <t>ronnie@rtdltech.com</t>
  </si>
  <si>
    <t>F0985</t>
  </si>
  <si>
    <t>Treadway</t>
  </si>
  <si>
    <t>749 W. Park Ct.</t>
  </si>
  <si>
    <t>940-206-9837</t>
  </si>
  <si>
    <t>mike.treadway@gmail.com</t>
  </si>
  <si>
    <t>F0982</t>
  </si>
  <si>
    <t>Kimberly</t>
  </si>
  <si>
    <t>Truesdell</t>
  </si>
  <si>
    <t>2103 Brentwood Ln</t>
  </si>
  <si>
    <t>toopotato4u@yahoo.com</t>
  </si>
  <si>
    <t>Sean</t>
  </si>
  <si>
    <t>Vreeland</t>
  </si>
  <si>
    <t>1913 Diamond Lake Trail</t>
  </si>
  <si>
    <t>Justin</t>
  </si>
  <si>
    <t>sean.vreeland@gmail.com</t>
  </si>
  <si>
    <t>Dean</t>
  </si>
  <si>
    <t>Weaver</t>
  </si>
  <si>
    <t>214-360-0004</t>
  </si>
  <si>
    <t>dnweaver@swbell.net</t>
  </si>
  <si>
    <t>F1046</t>
  </si>
  <si>
    <t>Wedge</t>
  </si>
  <si>
    <t>817-308-8071</t>
  </si>
  <si>
    <t>mark@wedge-mail.com</t>
  </si>
  <si>
    <t>A0370</t>
  </si>
  <si>
    <t>Wesstrom</t>
  </si>
  <si>
    <t>1714 Parkridge Ct</t>
  </si>
  <si>
    <t>(817) 832-8916</t>
  </si>
  <si>
    <t>sgwesst@gmail.com</t>
  </si>
  <si>
    <t>A0210</t>
  </si>
  <si>
    <t>Wilson</t>
  </si>
  <si>
    <t>1405 Melody Lane</t>
  </si>
  <si>
    <t>8176839157</t>
  </si>
  <si>
    <t>mattengr1@gmail.com</t>
  </si>
  <si>
    <t>F0217</t>
  </si>
  <si>
    <t>Wolfe</t>
  </si>
  <si>
    <t>Mansfield</t>
  </si>
  <si>
    <t>832-630-1505</t>
  </si>
  <si>
    <t>wolfe.james.p@gmail.com</t>
  </si>
  <si>
    <t>F0601</t>
  </si>
  <si>
    <t>Collin</t>
  </si>
  <si>
    <t>Zreet</t>
  </si>
  <si>
    <t>3936 Byers Ave</t>
  </si>
  <si>
    <t>(214) 793-9570</t>
  </si>
  <si>
    <t>mczreet@sbcglobal.net</t>
  </si>
  <si>
    <t>F1234</t>
  </si>
  <si>
    <t>Tables</t>
  </si>
  <si>
    <t>Distance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</si>
</sst>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1.0"/>
      <color rgb="FF000000"/>
      <name val="Calibri"/>
    </font>
    <font>
      <sz val="11.0"/>
      <color theme="1"/>
      <name val="Aptos Narrow"/>
    </font>
    <font>
      <sz val="11.0"/>
      <color theme="1"/>
      <name val="Arial"/>
    </font>
    <font>
      <sz val="10.0"/>
      <color rgb="FF000000"/>
      <name val="Arial"/>
    </font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0" fillId="0" fontId="2" numFmtId="0" xfId="0" applyFont="1"/>
    <xf borderId="2" fillId="0" fontId="1" numFmtId="0" xfId="0" applyBorder="1" applyFont="1"/>
    <xf borderId="2" fillId="0" fontId="1" numFmtId="0" xfId="0" applyAlignment="1" applyBorder="1" applyFont="1">
      <alignment horizontal="right"/>
    </xf>
    <xf borderId="0" fillId="3" fontId="1" numFmtId="0" xfId="0" applyAlignment="1" applyFill="1" applyFont="1">
      <alignment horizontal="right"/>
    </xf>
    <xf borderId="0" fillId="0" fontId="1" numFmtId="0" xfId="0" applyAlignment="1" applyFont="1">
      <alignment horizontal="right"/>
    </xf>
    <xf borderId="0" fillId="0" fontId="3" numFmtId="0" xfId="0" applyAlignment="1" applyFont="1">
      <alignment readingOrder="0"/>
    </xf>
    <xf borderId="2" fillId="0" fontId="4" numFmtId="0" xfId="0" applyBorder="1" applyFont="1"/>
    <xf borderId="0" fillId="0" fontId="4" numFmtId="0" xfId="0" applyFont="1"/>
    <xf borderId="1" fillId="3" fontId="1" numFmtId="0" xfId="0" applyAlignment="1" applyBorder="1" applyFont="1">
      <alignment horizontal="center"/>
    </xf>
    <xf borderId="0" fillId="0" fontId="5" numFmtId="0" xfId="0" applyFont="1"/>
    <xf borderId="0" fillId="3" fontId="5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33.5"/>
    <col customWidth="1" min="3" max="3" width="12.75"/>
    <col customWidth="1" min="4" max="4" width="10.63"/>
    <col customWidth="1" min="5" max="5" width="11.63"/>
    <col customWidth="1" min="6" max="6" width="34.25"/>
    <col customWidth="1" min="7" max="7" width="17.25"/>
    <col customWidth="1" min="8" max="8" width="14.25"/>
    <col customWidth="1" min="9" max="9" width="31.88"/>
    <col customWidth="1" min="10" max="10" width="23.13"/>
    <col customWidth="1" min="11" max="11" width="26.5"/>
    <col customWidth="1" min="12" max="12" width="26.88"/>
    <col customWidth="1" hidden="1" min="13" max="13" width="24.88"/>
    <col customWidth="1" min="14" max="14" width="22.88"/>
    <col customWidth="1" min="15" max="15" width="6.88"/>
    <col customWidth="1" min="16" max="16" width="19.75"/>
    <col customWidth="1" min="17" max="17" width="14.13"/>
    <col customWidth="1" min="18" max="18" width="13.75"/>
    <col customWidth="1" min="19" max="19" width="30.88"/>
    <col customWidth="1" min="20" max="20" width="14.13"/>
    <col customWidth="1" min="21" max="21" width="29.0"/>
    <col customWidth="1" min="22" max="50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ht="20.25" customHeight="1">
      <c r="A2" s="4" t="s">
        <v>21</v>
      </c>
      <c r="B2" s="4" t="s">
        <v>22</v>
      </c>
      <c r="C2" s="5">
        <v>2.0</v>
      </c>
      <c r="D2" s="4" t="s">
        <v>23</v>
      </c>
      <c r="E2" s="4" t="s">
        <v>24</v>
      </c>
      <c r="F2" s="4" t="s">
        <v>25</v>
      </c>
      <c r="G2" s="4" t="s">
        <v>26</v>
      </c>
      <c r="H2" s="4"/>
      <c r="I2" s="4" t="s">
        <v>27</v>
      </c>
      <c r="J2" s="6">
        <v>7.0</v>
      </c>
      <c r="K2" s="5">
        <v>22.0</v>
      </c>
      <c r="L2" s="7">
        <v>40.0</v>
      </c>
      <c r="M2" s="7">
        <v>44.0</v>
      </c>
      <c r="N2" s="7">
        <v>41.0</v>
      </c>
      <c r="O2" s="4"/>
      <c r="P2" s="4" t="s">
        <v>28</v>
      </c>
      <c r="Q2" s="4" t="s">
        <v>28</v>
      </c>
      <c r="R2" s="4" t="s">
        <v>28</v>
      </c>
      <c r="S2" s="4"/>
      <c r="T2" s="5">
        <v>4.0</v>
      </c>
      <c r="U2" s="8" t="str">
        <f t="shared" ref="U2:U109" si="1">IF(
  OR(J2="",K2="",L2="",N2=""),
  "",
  CHOOSE(
    MATCH(
      MIN(J2,N2,K2,L2),
      {J2,K2,L2,N2},
      0
    ),
    "DALLAS SITE5",
    "GRAPEVINE SITE1",
    "ARLINGTON SITE2",
    "MATTS SITE4"
  )
)</f>
        <v>DALLAS SITE5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ht="14.25" customHeight="1">
      <c r="A3" s="4" t="s">
        <v>21</v>
      </c>
      <c r="B3" s="4" t="s">
        <v>22</v>
      </c>
      <c r="C3" s="5">
        <v>2.0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7">
        <v>45.0</v>
      </c>
      <c r="K3" s="5">
        <v>24.0</v>
      </c>
      <c r="L3" s="7">
        <v>23.0</v>
      </c>
      <c r="M3" s="7">
        <v>12.0</v>
      </c>
      <c r="N3" s="6">
        <v>7.0</v>
      </c>
      <c r="O3" s="4" t="s">
        <v>35</v>
      </c>
      <c r="P3" s="4" t="s">
        <v>28</v>
      </c>
      <c r="Q3" s="4" t="s">
        <v>28</v>
      </c>
      <c r="R3" s="4" t="s">
        <v>28</v>
      </c>
      <c r="S3" s="4" t="s">
        <v>36</v>
      </c>
      <c r="T3" s="5">
        <v>8.0</v>
      </c>
      <c r="U3" s="8" t="str">
        <f t="shared" si="1"/>
        <v>MATTS SITE4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ht="14.25" customHeight="1">
      <c r="A4" s="4" t="s">
        <v>21</v>
      </c>
      <c r="B4" s="4" t="s">
        <v>22</v>
      </c>
      <c r="C4" s="5">
        <v>2.0</v>
      </c>
      <c r="D4" s="4" t="s">
        <v>37</v>
      </c>
      <c r="E4" s="4" t="s">
        <v>38</v>
      </c>
      <c r="F4" s="4" t="s">
        <v>39</v>
      </c>
      <c r="G4" s="4" t="s">
        <v>40</v>
      </c>
      <c r="H4" s="4"/>
      <c r="I4" s="4" t="s">
        <v>41</v>
      </c>
      <c r="J4" s="7">
        <v>9.0</v>
      </c>
      <c r="K4" s="5">
        <v>18.0</v>
      </c>
      <c r="L4" s="7">
        <v>34.0</v>
      </c>
      <c r="M4" s="7">
        <v>37.0</v>
      </c>
      <c r="N4" s="7">
        <v>35.0</v>
      </c>
      <c r="O4" s="4"/>
      <c r="P4" s="4" t="s">
        <v>28</v>
      </c>
      <c r="Q4" s="4" t="s">
        <v>28</v>
      </c>
      <c r="R4" s="4" t="s">
        <v>28</v>
      </c>
      <c r="S4" s="4"/>
      <c r="T4" s="5">
        <v>1.0</v>
      </c>
      <c r="U4" s="8" t="str">
        <f t="shared" si="1"/>
        <v>DALLAS SITE5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ht="14.25" customHeight="1">
      <c r="A5" s="4" t="s">
        <v>21</v>
      </c>
      <c r="B5" s="4" t="s">
        <v>42</v>
      </c>
      <c r="C5" s="5">
        <v>1.0</v>
      </c>
      <c r="D5" s="4" t="s">
        <v>43</v>
      </c>
      <c r="E5" s="4" t="s">
        <v>44</v>
      </c>
      <c r="F5" s="4" t="s">
        <v>45</v>
      </c>
      <c r="G5" s="4" t="s">
        <v>46</v>
      </c>
      <c r="H5" s="4" t="s">
        <v>47</v>
      </c>
      <c r="I5" s="4" t="s">
        <v>48</v>
      </c>
      <c r="J5" s="7">
        <v>61.0</v>
      </c>
      <c r="K5" s="5">
        <v>38.0</v>
      </c>
      <c r="L5" s="6">
        <v>22.0</v>
      </c>
      <c r="M5" s="7">
        <v>28.0</v>
      </c>
      <c r="N5" s="7">
        <v>29.0</v>
      </c>
      <c r="O5" s="4" t="s">
        <v>49</v>
      </c>
      <c r="P5" s="4" t="s">
        <v>50</v>
      </c>
      <c r="Q5" s="4" t="s">
        <v>51</v>
      </c>
      <c r="R5" s="4" t="s">
        <v>51</v>
      </c>
      <c r="S5" s="4"/>
      <c r="T5" s="5">
        <v>5.0</v>
      </c>
      <c r="U5" s="8" t="str">
        <f t="shared" si="1"/>
        <v>ARLINGTON SITE2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ht="14.25" customHeight="1">
      <c r="A6" s="4" t="s">
        <v>52</v>
      </c>
      <c r="B6" s="4" t="s">
        <v>53</v>
      </c>
      <c r="C6" s="5">
        <v>3.0</v>
      </c>
      <c r="D6" s="4" t="s">
        <v>54</v>
      </c>
      <c r="E6" s="4" t="s">
        <v>55</v>
      </c>
      <c r="F6" s="4" t="s">
        <v>28</v>
      </c>
      <c r="G6" s="4" t="s">
        <v>40</v>
      </c>
      <c r="H6" s="4" t="s">
        <v>56</v>
      </c>
      <c r="I6" s="4" t="s">
        <v>57</v>
      </c>
      <c r="J6" s="7">
        <v>0.0</v>
      </c>
      <c r="K6" s="5">
        <v>0.0</v>
      </c>
      <c r="L6" s="7">
        <v>0.0</v>
      </c>
      <c r="M6" s="7">
        <v>0.0</v>
      </c>
      <c r="N6" s="7">
        <v>0.0</v>
      </c>
      <c r="O6" s="4" t="s">
        <v>58</v>
      </c>
      <c r="P6" s="4" t="s">
        <v>59</v>
      </c>
      <c r="Q6" s="4" t="s">
        <v>28</v>
      </c>
      <c r="R6" s="4" t="s">
        <v>28</v>
      </c>
      <c r="S6" s="4" t="s">
        <v>28</v>
      </c>
      <c r="T6" s="9"/>
      <c r="U6" s="8" t="str">
        <f t="shared" si="1"/>
        <v>DALLAS SITE5</v>
      </c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ht="14.25" customHeight="1">
      <c r="A7" s="4" t="s">
        <v>52</v>
      </c>
      <c r="B7" s="4" t="s">
        <v>53</v>
      </c>
      <c r="C7" s="5">
        <v>3.0</v>
      </c>
      <c r="D7" s="4" t="s">
        <v>60</v>
      </c>
      <c r="E7" s="4" t="s">
        <v>61</v>
      </c>
      <c r="F7" s="4" t="s">
        <v>28</v>
      </c>
      <c r="G7" s="4" t="s">
        <v>62</v>
      </c>
      <c r="H7" s="4" t="s">
        <v>63</v>
      </c>
      <c r="I7" s="4" t="s">
        <v>64</v>
      </c>
      <c r="J7" s="7">
        <v>0.0</v>
      </c>
      <c r="K7" s="5">
        <v>0.0</v>
      </c>
      <c r="L7" s="7">
        <v>0.0</v>
      </c>
      <c r="M7" s="7">
        <v>0.0</v>
      </c>
      <c r="N7" s="7">
        <v>0.0</v>
      </c>
      <c r="O7" s="4" t="s">
        <v>65</v>
      </c>
      <c r="P7" s="4" t="s">
        <v>59</v>
      </c>
      <c r="Q7" s="4" t="s">
        <v>28</v>
      </c>
      <c r="R7" s="4" t="s">
        <v>28</v>
      </c>
      <c r="S7" s="4" t="s">
        <v>28</v>
      </c>
      <c r="T7" s="9"/>
      <c r="U7" s="8" t="str">
        <f t="shared" si="1"/>
        <v>DALLAS SITE5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ht="14.25" customHeight="1">
      <c r="A8" s="4" t="s">
        <v>21</v>
      </c>
      <c r="B8" s="4" t="s">
        <v>22</v>
      </c>
      <c r="C8" s="5">
        <v>2.0</v>
      </c>
      <c r="D8" s="4" t="s">
        <v>66</v>
      </c>
      <c r="E8" s="4" t="s">
        <v>67</v>
      </c>
      <c r="F8" s="4" t="s">
        <v>68</v>
      </c>
      <c r="G8" s="4" t="s">
        <v>69</v>
      </c>
      <c r="H8" s="4"/>
      <c r="I8" s="4" t="s">
        <v>70</v>
      </c>
      <c r="J8" s="7">
        <v>3.0</v>
      </c>
      <c r="K8" s="5">
        <v>24.0</v>
      </c>
      <c r="L8" s="7">
        <v>39.0</v>
      </c>
      <c r="M8" s="7">
        <v>43.0</v>
      </c>
      <c r="N8" s="7">
        <v>40.0</v>
      </c>
      <c r="O8" s="4" t="s">
        <v>71</v>
      </c>
      <c r="P8" s="4" t="s">
        <v>72</v>
      </c>
      <c r="Q8" s="4" t="s">
        <v>28</v>
      </c>
      <c r="R8" s="4" t="s">
        <v>28</v>
      </c>
      <c r="S8" s="4"/>
      <c r="T8" s="5">
        <v>3.0</v>
      </c>
      <c r="U8" s="8" t="str">
        <f t="shared" si="1"/>
        <v>DALLAS SITE5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ht="14.25" customHeight="1">
      <c r="A9" s="4" t="s">
        <v>21</v>
      </c>
      <c r="B9" s="4" t="s">
        <v>42</v>
      </c>
      <c r="C9" s="5">
        <v>1.0</v>
      </c>
      <c r="D9" s="4" t="s">
        <v>73</v>
      </c>
      <c r="E9" s="4" t="s">
        <v>74</v>
      </c>
      <c r="F9" s="4" t="s">
        <v>75</v>
      </c>
      <c r="G9" s="4" t="s">
        <v>76</v>
      </c>
      <c r="H9" s="4" t="s">
        <v>77</v>
      </c>
      <c r="I9" s="4" t="s">
        <v>78</v>
      </c>
      <c r="J9" s="5">
        <v>37.0</v>
      </c>
      <c r="K9" s="5">
        <v>16.0</v>
      </c>
      <c r="L9" s="5">
        <v>22.0</v>
      </c>
      <c r="M9" s="5">
        <v>10.0</v>
      </c>
      <c r="N9" s="5">
        <v>8.0</v>
      </c>
      <c r="O9" s="4" t="s">
        <v>79</v>
      </c>
      <c r="P9" s="4" t="s">
        <v>50</v>
      </c>
      <c r="Q9" s="4" t="s">
        <v>28</v>
      </c>
      <c r="R9" s="4" t="s">
        <v>28</v>
      </c>
      <c r="S9" s="4"/>
      <c r="T9" s="5">
        <v>1.0</v>
      </c>
      <c r="U9" s="8" t="str">
        <f t="shared" si="1"/>
        <v>MATTS SITE4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ht="14.25" customHeight="1">
      <c r="A10" s="4" t="s">
        <v>21</v>
      </c>
      <c r="B10" s="4" t="s">
        <v>42</v>
      </c>
      <c r="C10" s="5">
        <v>1.0</v>
      </c>
      <c r="D10" s="4" t="s">
        <v>80</v>
      </c>
      <c r="E10" s="4" t="s">
        <v>81</v>
      </c>
      <c r="F10" s="4" t="s">
        <v>82</v>
      </c>
      <c r="G10" s="4" t="s">
        <v>83</v>
      </c>
      <c r="H10" s="4" t="s">
        <v>84</v>
      </c>
      <c r="I10" s="4" t="s">
        <v>85</v>
      </c>
      <c r="J10" s="5">
        <v>38.0</v>
      </c>
      <c r="K10" s="5">
        <v>14.0</v>
      </c>
      <c r="L10" s="5">
        <v>15.0</v>
      </c>
      <c r="M10" s="5">
        <v>14.0</v>
      </c>
      <c r="N10" s="5">
        <v>7.0</v>
      </c>
      <c r="O10" s="4" t="s">
        <v>86</v>
      </c>
      <c r="P10" s="4" t="s">
        <v>87</v>
      </c>
      <c r="Q10" s="4" t="s">
        <v>51</v>
      </c>
      <c r="R10" s="4" t="s">
        <v>28</v>
      </c>
      <c r="S10" s="4"/>
      <c r="T10" s="5">
        <v>8.0</v>
      </c>
      <c r="U10" s="8" t="str">
        <f t="shared" si="1"/>
        <v>MATTS SITE4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ht="14.25" customHeight="1">
      <c r="A11" s="4" t="s">
        <v>21</v>
      </c>
      <c r="B11" s="4" t="s">
        <v>42</v>
      </c>
      <c r="C11" s="5">
        <v>1.0</v>
      </c>
      <c r="D11" s="4" t="s">
        <v>88</v>
      </c>
      <c r="E11" s="4" t="s">
        <v>81</v>
      </c>
      <c r="F11" s="4" t="s">
        <v>82</v>
      </c>
      <c r="G11" s="4" t="s">
        <v>83</v>
      </c>
      <c r="H11" s="4" t="s">
        <v>89</v>
      </c>
      <c r="I11" s="4" t="s">
        <v>90</v>
      </c>
      <c r="J11" s="5">
        <v>38.0</v>
      </c>
      <c r="K11" s="5">
        <v>14.0</v>
      </c>
      <c r="L11" s="5">
        <v>15.0</v>
      </c>
      <c r="M11" s="5">
        <v>14.0</v>
      </c>
      <c r="N11" s="5">
        <v>7.0</v>
      </c>
      <c r="O11" s="4" t="s">
        <v>91</v>
      </c>
      <c r="P11" s="4" t="s">
        <v>87</v>
      </c>
      <c r="Q11" s="4" t="s">
        <v>28</v>
      </c>
      <c r="R11" s="4" t="s">
        <v>28</v>
      </c>
      <c r="S11" s="4" t="s">
        <v>92</v>
      </c>
      <c r="T11" s="5">
        <v>8.0</v>
      </c>
      <c r="U11" s="8" t="str">
        <f t="shared" si="1"/>
        <v>MATTS SITE4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ht="14.25" customHeight="1">
      <c r="A12" s="4" t="s">
        <v>21</v>
      </c>
      <c r="B12" s="4" t="s">
        <v>22</v>
      </c>
      <c r="C12" s="5">
        <v>2.0</v>
      </c>
      <c r="D12" s="4" t="s">
        <v>93</v>
      </c>
      <c r="E12" s="4" t="s">
        <v>94</v>
      </c>
      <c r="F12" s="4" t="s">
        <v>95</v>
      </c>
      <c r="G12" s="4" t="s">
        <v>96</v>
      </c>
      <c r="H12" s="4" t="s">
        <v>97</v>
      </c>
      <c r="I12" s="4" t="s">
        <v>98</v>
      </c>
      <c r="J12" s="5">
        <v>59.0</v>
      </c>
      <c r="K12" s="5">
        <v>38.0</v>
      </c>
      <c r="L12" s="5">
        <v>36.0</v>
      </c>
      <c r="M12" s="5">
        <v>0.0</v>
      </c>
      <c r="N12" s="5">
        <v>25.0</v>
      </c>
      <c r="O12" s="4"/>
      <c r="P12" s="4" t="s">
        <v>28</v>
      </c>
      <c r="Q12" s="4" t="s">
        <v>28</v>
      </c>
      <c r="R12" s="4" t="s">
        <v>28</v>
      </c>
      <c r="S12" s="4"/>
      <c r="T12" s="5">
        <v>5.0</v>
      </c>
      <c r="U12" s="8" t="str">
        <f t="shared" si="1"/>
        <v>MATTS SITE4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ht="14.25" customHeight="1">
      <c r="A13" s="4" t="s">
        <v>52</v>
      </c>
      <c r="B13" s="4" t="s">
        <v>53</v>
      </c>
      <c r="C13" s="5">
        <v>3.0</v>
      </c>
      <c r="D13" s="4" t="s">
        <v>99</v>
      </c>
      <c r="E13" s="4" t="s">
        <v>100</v>
      </c>
      <c r="F13" s="4" t="s">
        <v>28</v>
      </c>
      <c r="G13" s="4" t="s">
        <v>28</v>
      </c>
      <c r="H13" s="4" t="s">
        <v>101</v>
      </c>
      <c r="I13" s="4" t="s">
        <v>102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4" t="s">
        <v>103</v>
      </c>
      <c r="P13" s="4" t="s">
        <v>59</v>
      </c>
      <c r="Q13" s="4" t="s">
        <v>28</v>
      </c>
      <c r="R13" s="4" t="s">
        <v>28</v>
      </c>
      <c r="S13" s="4" t="s">
        <v>92</v>
      </c>
      <c r="T13" s="9"/>
      <c r="U13" s="8" t="str">
        <f t="shared" si="1"/>
        <v>DALLAS SITE5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ht="14.25" customHeight="1">
      <c r="A14" s="4" t="s">
        <v>52</v>
      </c>
      <c r="B14" s="4" t="s">
        <v>104</v>
      </c>
      <c r="C14" s="5">
        <v>4.0</v>
      </c>
      <c r="D14" s="4" t="s">
        <v>105</v>
      </c>
      <c r="E14" s="4" t="s">
        <v>106</v>
      </c>
      <c r="F14" s="4" t="s">
        <v>107</v>
      </c>
      <c r="G14" s="4" t="s">
        <v>108</v>
      </c>
      <c r="H14" s="4" t="s">
        <v>109</v>
      </c>
      <c r="I14" s="4" t="s">
        <v>110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4" t="s">
        <v>111</v>
      </c>
      <c r="P14" s="4" t="s">
        <v>50</v>
      </c>
      <c r="Q14" s="4" t="s">
        <v>28</v>
      </c>
      <c r="R14" s="4" t="s">
        <v>28</v>
      </c>
      <c r="S14" s="4" t="s">
        <v>28</v>
      </c>
      <c r="T14" s="9"/>
      <c r="U14" s="8" t="str">
        <f t="shared" si="1"/>
        <v>DALLAS SITE5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ht="14.25" customHeight="1">
      <c r="A15" s="4" t="s">
        <v>21</v>
      </c>
      <c r="B15" s="4" t="s">
        <v>22</v>
      </c>
      <c r="C15" s="5">
        <v>2.0</v>
      </c>
      <c r="D15" s="4" t="s">
        <v>112</v>
      </c>
      <c r="E15" s="4" t="s">
        <v>113</v>
      </c>
      <c r="F15" s="4" t="s">
        <v>114</v>
      </c>
      <c r="G15" s="4" t="s">
        <v>115</v>
      </c>
      <c r="H15" s="4"/>
      <c r="I15" s="4" t="s">
        <v>116</v>
      </c>
      <c r="J15" s="5">
        <v>12.0</v>
      </c>
      <c r="K15" s="5">
        <v>18.0</v>
      </c>
      <c r="L15" s="5">
        <v>30.0</v>
      </c>
      <c r="M15" s="5">
        <v>34.0</v>
      </c>
      <c r="N15" s="5">
        <v>31.0</v>
      </c>
      <c r="O15" s="4"/>
      <c r="P15" s="4" t="s">
        <v>28</v>
      </c>
      <c r="Q15" s="4" t="s">
        <v>28</v>
      </c>
      <c r="R15" s="4" t="s">
        <v>28</v>
      </c>
      <c r="S15" s="4"/>
      <c r="T15" s="5">
        <v>1.0</v>
      </c>
      <c r="U15" s="8" t="str">
        <f t="shared" si="1"/>
        <v>DALLAS SITE5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ht="14.25" customHeight="1">
      <c r="A16" s="4" t="s">
        <v>21</v>
      </c>
      <c r="B16" s="4" t="s">
        <v>117</v>
      </c>
      <c r="C16" s="5">
        <v>1.0</v>
      </c>
      <c r="D16" s="4" t="s">
        <v>118</v>
      </c>
      <c r="E16" s="4" t="s">
        <v>119</v>
      </c>
      <c r="F16" s="4" t="s">
        <v>28</v>
      </c>
      <c r="G16" s="4" t="s">
        <v>120</v>
      </c>
      <c r="H16" s="4" t="s">
        <v>28</v>
      </c>
      <c r="I16" s="4" t="s">
        <v>121</v>
      </c>
      <c r="J16" s="9"/>
      <c r="K16" s="5">
        <v>30.0</v>
      </c>
      <c r="L16" s="9"/>
      <c r="M16" s="9"/>
      <c r="N16" s="9"/>
      <c r="O16" s="4" t="s">
        <v>122</v>
      </c>
      <c r="P16" s="4" t="s">
        <v>50</v>
      </c>
      <c r="Q16" s="4" t="s">
        <v>123</v>
      </c>
      <c r="R16" s="4" t="s">
        <v>123</v>
      </c>
      <c r="S16" s="4" t="s">
        <v>28</v>
      </c>
      <c r="T16" s="5">
        <v>1.0</v>
      </c>
      <c r="U16" s="8" t="str">
        <f t="shared" si="1"/>
        <v/>
      </c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ht="14.25" customHeight="1">
      <c r="A17" s="4" t="s">
        <v>21</v>
      </c>
      <c r="B17" s="4" t="s">
        <v>42</v>
      </c>
      <c r="C17" s="5">
        <v>1.0</v>
      </c>
      <c r="D17" s="4" t="s">
        <v>124</v>
      </c>
      <c r="E17" s="4" t="s">
        <v>125</v>
      </c>
      <c r="F17" s="4" t="s">
        <v>126</v>
      </c>
      <c r="G17" s="4" t="s">
        <v>127</v>
      </c>
      <c r="H17" s="4" t="s">
        <v>128</v>
      </c>
      <c r="I17" s="4" t="s">
        <v>129</v>
      </c>
      <c r="J17" s="5">
        <v>29.0</v>
      </c>
      <c r="K17" s="5">
        <v>5.0</v>
      </c>
      <c r="L17" s="5">
        <v>17.0</v>
      </c>
      <c r="M17" s="5">
        <v>16.0</v>
      </c>
      <c r="N17" s="5">
        <v>9.0</v>
      </c>
      <c r="O17" s="4" t="s">
        <v>130</v>
      </c>
      <c r="P17" s="4" t="s">
        <v>50</v>
      </c>
      <c r="Q17" s="4" t="s">
        <v>28</v>
      </c>
      <c r="R17" s="4" t="s">
        <v>28</v>
      </c>
      <c r="S17" s="4"/>
      <c r="T17" s="5">
        <v>7.0</v>
      </c>
      <c r="U17" s="8" t="str">
        <f t="shared" si="1"/>
        <v>GRAPEVINE SITE1</v>
      </c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ht="14.25" customHeight="1">
      <c r="A18" s="4" t="s">
        <v>21</v>
      </c>
      <c r="B18" s="4" t="s">
        <v>22</v>
      </c>
      <c r="C18" s="5">
        <v>2.0</v>
      </c>
      <c r="D18" s="4" t="s">
        <v>131</v>
      </c>
      <c r="E18" s="4" t="s">
        <v>125</v>
      </c>
      <c r="F18" s="4" t="s">
        <v>132</v>
      </c>
      <c r="G18" s="4" t="s">
        <v>127</v>
      </c>
      <c r="H18" s="4" t="s">
        <v>133</v>
      </c>
      <c r="I18" s="4" t="s">
        <v>134</v>
      </c>
      <c r="J18" s="5">
        <v>29.0</v>
      </c>
      <c r="K18" s="5">
        <v>5.0</v>
      </c>
      <c r="L18" s="5">
        <v>17.0</v>
      </c>
      <c r="M18" s="5">
        <v>16.0</v>
      </c>
      <c r="N18" s="5">
        <v>9.0</v>
      </c>
      <c r="O18" s="4" t="s">
        <v>35</v>
      </c>
      <c r="P18" s="4" t="s">
        <v>28</v>
      </c>
      <c r="Q18" s="4" t="s">
        <v>28</v>
      </c>
      <c r="R18" s="4" t="s">
        <v>28</v>
      </c>
      <c r="S18" s="4"/>
      <c r="T18" s="5">
        <v>5.0</v>
      </c>
      <c r="U18" s="8" t="str">
        <f t="shared" si="1"/>
        <v>GRAPEVINE SITE1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ht="14.25" customHeight="1">
      <c r="A19" s="4" t="s">
        <v>21</v>
      </c>
      <c r="B19" s="4" t="s">
        <v>22</v>
      </c>
      <c r="C19" s="5">
        <v>2.0</v>
      </c>
      <c r="D19" s="4" t="s">
        <v>135</v>
      </c>
      <c r="E19" s="4" t="s">
        <v>136</v>
      </c>
      <c r="F19" s="4" t="s">
        <v>137</v>
      </c>
      <c r="G19" s="4" t="s">
        <v>138</v>
      </c>
      <c r="H19" s="4"/>
      <c r="I19" s="4" t="s">
        <v>139</v>
      </c>
      <c r="J19" s="5">
        <v>16.0</v>
      </c>
      <c r="K19" s="5">
        <v>23.0</v>
      </c>
      <c r="L19" s="5">
        <v>42.0</v>
      </c>
      <c r="M19" s="5">
        <v>43.0</v>
      </c>
      <c r="N19" s="5">
        <v>40.0</v>
      </c>
      <c r="O19" s="4"/>
      <c r="P19" s="4" t="s">
        <v>28</v>
      </c>
      <c r="Q19" s="4" t="s">
        <v>28</v>
      </c>
      <c r="R19" s="4" t="s">
        <v>28</v>
      </c>
      <c r="S19" s="4"/>
      <c r="T19" s="5">
        <v>1.0</v>
      </c>
      <c r="U19" s="8" t="str">
        <f t="shared" si="1"/>
        <v>DALLAS SITE5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ht="14.25" customHeight="1">
      <c r="A20" s="4" t="s">
        <v>52</v>
      </c>
      <c r="B20" s="4" t="s">
        <v>104</v>
      </c>
      <c r="C20" s="5">
        <v>4.0</v>
      </c>
      <c r="D20" s="4" t="s">
        <v>140</v>
      </c>
      <c r="E20" s="4" t="s">
        <v>141</v>
      </c>
      <c r="F20" s="4" t="s">
        <v>28</v>
      </c>
      <c r="G20" s="4" t="s">
        <v>142</v>
      </c>
      <c r="H20" s="4" t="s">
        <v>143</v>
      </c>
      <c r="I20" s="4" t="s">
        <v>144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4" t="s">
        <v>145</v>
      </c>
      <c r="P20" s="4" t="s">
        <v>50</v>
      </c>
      <c r="Q20" s="4" t="s">
        <v>28</v>
      </c>
      <c r="R20" s="4" t="s">
        <v>28</v>
      </c>
      <c r="S20" s="4" t="s">
        <v>28</v>
      </c>
      <c r="T20" s="9"/>
      <c r="U20" s="8" t="str">
        <f t="shared" si="1"/>
        <v>DALLAS SITE5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ht="14.25" customHeight="1">
      <c r="A21" s="4" t="s">
        <v>21</v>
      </c>
      <c r="B21" s="4" t="s">
        <v>146</v>
      </c>
      <c r="C21" s="5">
        <v>4.0</v>
      </c>
      <c r="D21" s="4" t="s">
        <v>147</v>
      </c>
      <c r="E21" s="4" t="s">
        <v>148</v>
      </c>
      <c r="F21" s="4" t="s">
        <v>28</v>
      </c>
      <c r="G21" s="4" t="s">
        <v>149</v>
      </c>
      <c r="H21" s="4" t="s">
        <v>150</v>
      </c>
      <c r="I21" s="4" t="s">
        <v>151</v>
      </c>
      <c r="J21" s="5">
        <v>0.0</v>
      </c>
      <c r="K21" s="5">
        <v>0.0</v>
      </c>
      <c r="L21" s="5">
        <v>0.0</v>
      </c>
      <c r="M21" s="5">
        <v>0.0</v>
      </c>
      <c r="N21" s="5">
        <v>0.0</v>
      </c>
      <c r="O21" s="4" t="s">
        <v>152</v>
      </c>
      <c r="P21" s="4" t="s">
        <v>50</v>
      </c>
      <c r="Q21" s="4" t="s">
        <v>28</v>
      </c>
      <c r="R21" s="4" t="s">
        <v>28</v>
      </c>
      <c r="S21" s="4" t="s">
        <v>28</v>
      </c>
      <c r="T21" s="5">
        <v>4.0</v>
      </c>
      <c r="U21" s="8" t="str">
        <f t="shared" si="1"/>
        <v>DALLAS SITE5</v>
      </c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ht="14.25" customHeight="1">
      <c r="A22" s="4" t="s">
        <v>21</v>
      </c>
      <c r="B22" s="4" t="s">
        <v>117</v>
      </c>
      <c r="C22" s="5">
        <v>1.0</v>
      </c>
      <c r="D22" s="4" t="s">
        <v>153</v>
      </c>
      <c r="E22" s="4" t="s">
        <v>154</v>
      </c>
      <c r="F22" s="4" t="s">
        <v>28</v>
      </c>
      <c r="G22" s="4" t="s">
        <v>108</v>
      </c>
      <c r="H22" s="4" t="s">
        <v>28</v>
      </c>
      <c r="I22" s="4" t="s">
        <v>155</v>
      </c>
      <c r="J22" s="9"/>
      <c r="K22" s="5">
        <v>17.0</v>
      </c>
      <c r="L22" s="9"/>
      <c r="M22" s="9"/>
      <c r="N22" s="9"/>
      <c r="O22" s="4" t="s">
        <v>156</v>
      </c>
      <c r="P22" s="4" t="s">
        <v>157</v>
      </c>
      <c r="Q22" s="4" t="s">
        <v>158</v>
      </c>
      <c r="R22" s="4" t="s">
        <v>123</v>
      </c>
      <c r="S22" s="4" t="s">
        <v>28</v>
      </c>
      <c r="T22" s="5">
        <v>2.0</v>
      </c>
      <c r="U22" s="8" t="str">
        <f t="shared" si="1"/>
        <v/>
      </c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ht="14.25" customHeight="1">
      <c r="A23" s="4" t="s">
        <v>21</v>
      </c>
      <c r="B23" s="4" t="s">
        <v>22</v>
      </c>
      <c r="C23" s="5">
        <v>2.0</v>
      </c>
      <c r="D23" s="4" t="s">
        <v>159</v>
      </c>
      <c r="E23" s="4" t="s">
        <v>160</v>
      </c>
      <c r="F23" s="4" t="s">
        <v>161</v>
      </c>
      <c r="G23" s="4" t="s">
        <v>62</v>
      </c>
      <c r="H23" s="4"/>
      <c r="I23" s="4" t="s">
        <v>162</v>
      </c>
      <c r="J23" s="5">
        <v>18.0</v>
      </c>
      <c r="K23" s="5">
        <v>42.0</v>
      </c>
      <c r="L23" s="5">
        <v>57.0</v>
      </c>
      <c r="M23" s="5">
        <v>61.0</v>
      </c>
      <c r="N23" s="5">
        <v>58.0</v>
      </c>
      <c r="O23" s="4" t="s">
        <v>163</v>
      </c>
      <c r="P23" s="4" t="s">
        <v>164</v>
      </c>
      <c r="Q23" s="4" t="s">
        <v>28</v>
      </c>
      <c r="R23" s="4" t="s">
        <v>28</v>
      </c>
      <c r="S23" s="4"/>
      <c r="T23" s="5">
        <v>3.0</v>
      </c>
      <c r="U23" s="8" t="str">
        <f t="shared" si="1"/>
        <v>DALLAS SITE5</v>
      </c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ht="14.25" customHeight="1">
      <c r="A24" s="4" t="s">
        <v>21</v>
      </c>
      <c r="B24" s="4" t="s">
        <v>42</v>
      </c>
      <c r="C24" s="5">
        <v>1.0</v>
      </c>
      <c r="D24" s="4" t="s">
        <v>165</v>
      </c>
      <c r="E24" s="4" t="s">
        <v>166</v>
      </c>
      <c r="F24" s="4" t="s">
        <v>167</v>
      </c>
      <c r="G24" s="4" t="s">
        <v>26</v>
      </c>
      <c r="H24" s="4" t="s">
        <v>168</v>
      </c>
      <c r="I24" s="4" t="s">
        <v>169</v>
      </c>
      <c r="J24" s="5">
        <v>3.0</v>
      </c>
      <c r="K24" s="5">
        <v>25.0</v>
      </c>
      <c r="L24" s="5">
        <v>41.0</v>
      </c>
      <c r="M24" s="5">
        <v>44.0</v>
      </c>
      <c r="N24" s="5">
        <v>36.0</v>
      </c>
      <c r="O24" s="4" t="s">
        <v>170</v>
      </c>
      <c r="P24" s="4" t="s">
        <v>50</v>
      </c>
      <c r="Q24" s="4" t="s">
        <v>28</v>
      </c>
      <c r="R24" s="4" t="s">
        <v>28</v>
      </c>
      <c r="S24" s="4"/>
      <c r="T24" s="5">
        <v>1.0</v>
      </c>
      <c r="U24" s="8" t="str">
        <f t="shared" si="1"/>
        <v>DALLAS SITE5</v>
      </c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ht="14.25" customHeight="1">
      <c r="A25" s="4" t="s">
        <v>21</v>
      </c>
      <c r="B25" s="4" t="s">
        <v>42</v>
      </c>
      <c r="C25" s="5">
        <v>1.0</v>
      </c>
      <c r="D25" s="4" t="s">
        <v>171</v>
      </c>
      <c r="E25" s="4" t="s">
        <v>172</v>
      </c>
      <c r="F25" s="4" t="s">
        <v>173</v>
      </c>
      <c r="G25" s="4" t="s">
        <v>69</v>
      </c>
      <c r="H25" s="4" t="s">
        <v>174</v>
      </c>
      <c r="I25" s="4" t="s">
        <v>175</v>
      </c>
      <c r="J25" s="5">
        <v>3.0</v>
      </c>
      <c r="K25" s="5">
        <v>22.0</v>
      </c>
      <c r="L25" s="5">
        <v>37.0</v>
      </c>
      <c r="M25" s="5">
        <v>40.0</v>
      </c>
      <c r="N25" s="5">
        <v>38.0</v>
      </c>
      <c r="O25" s="4" t="s">
        <v>176</v>
      </c>
      <c r="P25" s="4" t="s">
        <v>50</v>
      </c>
      <c r="Q25" s="4" t="s">
        <v>28</v>
      </c>
      <c r="R25" s="4" t="s">
        <v>28</v>
      </c>
      <c r="S25" s="4"/>
      <c r="T25" s="5">
        <v>3.0</v>
      </c>
      <c r="U25" s="8" t="str">
        <f t="shared" si="1"/>
        <v>DALLAS SITE5</v>
      </c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ht="14.25" customHeight="1">
      <c r="A26" s="4" t="s">
        <v>21</v>
      </c>
      <c r="B26" s="4" t="s">
        <v>22</v>
      </c>
      <c r="C26" s="5">
        <v>2.0</v>
      </c>
      <c r="D26" s="4" t="s">
        <v>99</v>
      </c>
      <c r="E26" s="4" t="s">
        <v>177</v>
      </c>
      <c r="F26" s="4" t="s">
        <v>178</v>
      </c>
      <c r="G26" s="4" t="s">
        <v>179</v>
      </c>
      <c r="H26" s="4"/>
      <c r="I26" s="4" t="s">
        <v>180</v>
      </c>
      <c r="J26" s="5">
        <v>57.0</v>
      </c>
      <c r="K26" s="5">
        <v>45.0</v>
      </c>
      <c r="L26" s="5">
        <v>29.0</v>
      </c>
      <c r="M26" s="5">
        <v>25.0</v>
      </c>
      <c r="N26" s="5">
        <v>37.0</v>
      </c>
      <c r="O26" s="4"/>
      <c r="P26" s="4" t="s">
        <v>28</v>
      </c>
      <c r="Q26" s="4" t="s">
        <v>28</v>
      </c>
      <c r="R26" s="4" t="s">
        <v>28</v>
      </c>
      <c r="S26" s="4"/>
      <c r="T26" s="5">
        <v>1.0</v>
      </c>
      <c r="U26" s="8" t="str">
        <f t="shared" si="1"/>
        <v>ARLINGTON SITE2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ht="14.25" customHeight="1">
      <c r="A27" s="4" t="s">
        <v>21</v>
      </c>
      <c r="B27" s="4" t="s">
        <v>22</v>
      </c>
      <c r="C27" s="5">
        <v>2.0</v>
      </c>
      <c r="D27" s="4" t="s">
        <v>181</v>
      </c>
      <c r="E27" s="4" t="s">
        <v>182</v>
      </c>
      <c r="F27" s="4" t="s">
        <v>183</v>
      </c>
      <c r="G27" s="4" t="s">
        <v>182</v>
      </c>
      <c r="H27" s="4"/>
      <c r="I27" s="4" t="s">
        <v>184</v>
      </c>
      <c r="J27" s="5">
        <v>13.0</v>
      </c>
      <c r="K27" s="5">
        <v>37.0</v>
      </c>
      <c r="L27" s="5">
        <v>53.0</v>
      </c>
      <c r="M27" s="5">
        <v>56.0</v>
      </c>
      <c r="N27" s="5">
        <v>54.0</v>
      </c>
      <c r="O27" s="4"/>
      <c r="P27" s="4" t="s">
        <v>28</v>
      </c>
      <c r="Q27" s="4" t="s">
        <v>28</v>
      </c>
      <c r="R27" s="4" t="s">
        <v>28</v>
      </c>
      <c r="S27" s="4"/>
      <c r="T27" s="5">
        <v>2.0</v>
      </c>
      <c r="U27" s="8" t="str">
        <f t="shared" si="1"/>
        <v>DALLAS SITE5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ht="14.25" customHeight="1">
      <c r="A28" s="4" t="s">
        <v>21</v>
      </c>
      <c r="B28" s="4" t="s">
        <v>185</v>
      </c>
      <c r="C28" s="5">
        <v>1.0</v>
      </c>
      <c r="D28" s="4" t="s">
        <v>186</v>
      </c>
      <c r="E28" s="4" t="s">
        <v>187</v>
      </c>
      <c r="F28" s="4" t="s">
        <v>188</v>
      </c>
      <c r="G28" s="4" t="s">
        <v>189</v>
      </c>
      <c r="H28" s="4" t="s">
        <v>190</v>
      </c>
      <c r="I28" s="4" t="s">
        <v>191</v>
      </c>
      <c r="J28" s="5">
        <v>16.0</v>
      </c>
      <c r="K28" s="5">
        <v>30.0</v>
      </c>
      <c r="L28" s="5">
        <v>50.0</v>
      </c>
      <c r="M28" s="5">
        <v>50.0</v>
      </c>
      <c r="N28" s="5">
        <v>41.0</v>
      </c>
      <c r="O28" s="4" t="s">
        <v>192</v>
      </c>
      <c r="P28" s="4" t="s">
        <v>193</v>
      </c>
      <c r="Q28" s="4" t="s">
        <v>28</v>
      </c>
      <c r="R28" s="4" t="s">
        <v>28</v>
      </c>
      <c r="S28" s="4"/>
      <c r="T28" s="5">
        <v>6.0</v>
      </c>
      <c r="U28" s="8" t="str">
        <f t="shared" si="1"/>
        <v>DALLAS SITE5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ht="14.25" customHeight="1">
      <c r="A29" s="4" t="s">
        <v>52</v>
      </c>
      <c r="B29" s="4" t="s">
        <v>53</v>
      </c>
      <c r="C29" s="5">
        <v>3.0</v>
      </c>
      <c r="D29" s="4" t="s">
        <v>194</v>
      </c>
      <c r="E29" s="4" t="s">
        <v>195</v>
      </c>
      <c r="F29" s="4" t="s">
        <v>28</v>
      </c>
      <c r="G29" s="4" t="s">
        <v>138</v>
      </c>
      <c r="H29" s="4" t="s">
        <v>196</v>
      </c>
      <c r="I29" s="4" t="s">
        <v>197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  <c r="O29" s="4" t="s">
        <v>198</v>
      </c>
      <c r="P29" s="4" t="s">
        <v>59</v>
      </c>
      <c r="Q29" s="4" t="s">
        <v>28</v>
      </c>
      <c r="R29" s="4" t="s">
        <v>28</v>
      </c>
      <c r="S29" s="4" t="s">
        <v>28</v>
      </c>
      <c r="T29" s="9"/>
      <c r="U29" s="8" t="str">
        <f t="shared" si="1"/>
        <v>DALLAS SITE5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ht="14.25" customHeight="1">
      <c r="A30" s="4" t="s">
        <v>52</v>
      </c>
      <c r="B30" s="4" t="s">
        <v>104</v>
      </c>
      <c r="C30" s="5">
        <v>4.0</v>
      </c>
      <c r="D30" s="4" t="s">
        <v>199</v>
      </c>
      <c r="E30" s="4" t="s">
        <v>200</v>
      </c>
      <c r="F30" s="4" t="s">
        <v>28</v>
      </c>
      <c r="G30" s="4" t="s">
        <v>201</v>
      </c>
      <c r="H30" s="4" t="s">
        <v>202</v>
      </c>
      <c r="I30" s="4" t="s">
        <v>203</v>
      </c>
      <c r="J30" s="5">
        <v>0.0</v>
      </c>
      <c r="K30" s="5">
        <v>0.0</v>
      </c>
      <c r="L30" s="5">
        <v>0.0</v>
      </c>
      <c r="M30" s="5">
        <v>0.0</v>
      </c>
      <c r="N30" s="5">
        <v>0.0</v>
      </c>
      <c r="O30" s="4" t="s">
        <v>204</v>
      </c>
      <c r="P30" s="4" t="s">
        <v>87</v>
      </c>
      <c r="Q30" s="4" t="s">
        <v>28</v>
      </c>
      <c r="R30" s="4" t="s">
        <v>28</v>
      </c>
      <c r="S30" s="4" t="s">
        <v>28</v>
      </c>
      <c r="T30" s="9"/>
      <c r="U30" s="8" t="str">
        <f t="shared" si="1"/>
        <v>DALLAS SITE5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ht="14.25" customHeight="1">
      <c r="A31" s="4" t="s">
        <v>52</v>
      </c>
      <c r="B31" s="4" t="s">
        <v>104</v>
      </c>
      <c r="C31" s="5">
        <v>4.0</v>
      </c>
      <c r="D31" s="4" t="s">
        <v>205</v>
      </c>
      <c r="E31" s="4" t="s">
        <v>206</v>
      </c>
      <c r="F31" s="4" t="s">
        <v>28</v>
      </c>
      <c r="G31" s="4" t="s">
        <v>207</v>
      </c>
      <c r="H31" s="4" t="s">
        <v>208</v>
      </c>
      <c r="I31" s="4" t="s">
        <v>209</v>
      </c>
      <c r="J31" s="5">
        <v>0.0</v>
      </c>
      <c r="K31" s="5">
        <v>0.0</v>
      </c>
      <c r="L31" s="5">
        <v>0.0</v>
      </c>
      <c r="M31" s="5">
        <v>0.0</v>
      </c>
      <c r="N31" s="5">
        <v>0.0</v>
      </c>
      <c r="O31" s="4" t="s">
        <v>210</v>
      </c>
      <c r="P31" s="4" t="s">
        <v>50</v>
      </c>
      <c r="Q31" s="4" t="s">
        <v>28</v>
      </c>
      <c r="R31" s="4" t="s">
        <v>28</v>
      </c>
      <c r="S31" s="4" t="s">
        <v>211</v>
      </c>
      <c r="T31" s="10"/>
      <c r="U31" s="8" t="str">
        <f t="shared" si="1"/>
        <v>DALLAS SITE5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ht="14.25" customHeight="1">
      <c r="A32" s="4" t="s">
        <v>21</v>
      </c>
      <c r="B32" s="4" t="s">
        <v>146</v>
      </c>
      <c r="C32" s="5">
        <v>4.0</v>
      </c>
      <c r="D32" s="4" t="s">
        <v>212</v>
      </c>
      <c r="E32" s="4" t="s">
        <v>213</v>
      </c>
      <c r="F32" s="4" t="s">
        <v>28</v>
      </c>
      <c r="G32" s="4" t="s">
        <v>214</v>
      </c>
      <c r="H32" s="4" t="s">
        <v>215</v>
      </c>
      <c r="I32" s="4" t="s">
        <v>216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4" t="s">
        <v>217</v>
      </c>
      <c r="P32" s="4" t="s">
        <v>50</v>
      </c>
      <c r="Q32" s="4" t="s">
        <v>28</v>
      </c>
      <c r="R32" s="4" t="s">
        <v>28</v>
      </c>
      <c r="S32" s="4" t="s">
        <v>28</v>
      </c>
      <c r="T32" s="7">
        <v>2.0</v>
      </c>
      <c r="U32" s="8" t="str">
        <f t="shared" si="1"/>
        <v>DALLAS SITE5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ht="14.25" customHeight="1">
      <c r="A33" s="4" t="s">
        <v>21</v>
      </c>
      <c r="B33" s="4" t="s">
        <v>42</v>
      </c>
      <c r="C33" s="5">
        <v>1.0</v>
      </c>
      <c r="D33" s="4" t="s">
        <v>218</v>
      </c>
      <c r="E33" s="4" t="s">
        <v>219</v>
      </c>
      <c r="F33" s="4" t="s">
        <v>220</v>
      </c>
      <c r="G33" s="4" t="s">
        <v>40</v>
      </c>
      <c r="H33" s="4" t="s">
        <v>221</v>
      </c>
      <c r="I33" s="4" t="s">
        <v>222</v>
      </c>
      <c r="J33" s="5">
        <v>8.0</v>
      </c>
      <c r="K33" s="5">
        <v>19.0</v>
      </c>
      <c r="L33" s="5">
        <v>34.0</v>
      </c>
      <c r="M33" s="5">
        <v>38.0</v>
      </c>
      <c r="N33" s="5">
        <v>35.0</v>
      </c>
      <c r="O33" s="4" t="s">
        <v>223</v>
      </c>
      <c r="P33" s="4" t="s">
        <v>193</v>
      </c>
      <c r="Q33" s="4" t="s">
        <v>28</v>
      </c>
      <c r="R33" s="4" t="s">
        <v>28</v>
      </c>
      <c r="S33" s="4"/>
      <c r="T33" s="5">
        <v>9.0</v>
      </c>
      <c r="U33" s="8" t="str">
        <f t="shared" si="1"/>
        <v>DALLAS SITE5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ht="14.25" customHeight="1">
      <c r="A34" s="4" t="s">
        <v>21</v>
      </c>
      <c r="B34" s="4" t="s">
        <v>42</v>
      </c>
      <c r="C34" s="5">
        <v>1.0</v>
      </c>
      <c r="D34" s="4" t="s">
        <v>224</v>
      </c>
      <c r="E34" s="4" t="s">
        <v>225</v>
      </c>
      <c r="F34" s="4" t="s">
        <v>226</v>
      </c>
      <c r="G34" s="4" t="s">
        <v>214</v>
      </c>
      <c r="H34" s="4" t="s">
        <v>227</v>
      </c>
      <c r="I34" s="4" t="s">
        <v>228</v>
      </c>
      <c r="J34" s="5">
        <v>29.0</v>
      </c>
      <c r="K34" s="5">
        <v>24.0</v>
      </c>
      <c r="L34" s="5">
        <v>46.0</v>
      </c>
      <c r="M34" s="5">
        <v>36.0</v>
      </c>
      <c r="N34" s="5">
        <v>27.0</v>
      </c>
      <c r="O34" s="4" t="s">
        <v>229</v>
      </c>
      <c r="P34" s="4" t="s">
        <v>50</v>
      </c>
      <c r="Q34" s="4" t="s">
        <v>28</v>
      </c>
      <c r="R34" s="4" t="s">
        <v>28</v>
      </c>
      <c r="S34" s="4"/>
      <c r="T34" s="7">
        <v>2.0</v>
      </c>
      <c r="U34" s="8" t="str">
        <f t="shared" si="1"/>
        <v>GRAPEVINE SITE1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ht="14.25" customHeight="1">
      <c r="A35" s="4" t="s">
        <v>21</v>
      </c>
      <c r="B35" s="4" t="s">
        <v>22</v>
      </c>
      <c r="C35" s="5">
        <v>2.0</v>
      </c>
      <c r="D35" s="4" t="s">
        <v>230</v>
      </c>
      <c r="E35" s="4" t="s">
        <v>231</v>
      </c>
      <c r="F35" s="4" t="s">
        <v>232</v>
      </c>
      <c r="G35" s="4" t="s">
        <v>26</v>
      </c>
      <c r="H35" s="4"/>
      <c r="I35" s="4" t="s">
        <v>233</v>
      </c>
      <c r="J35" s="5">
        <v>16.0</v>
      </c>
      <c r="K35" s="5">
        <v>30.0</v>
      </c>
      <c r="L35" s="5">
        <v>50.0</v>
      </c>
      <c r="M35" s="5">
        <v>50.0</v>
      </c>
      <c r="N35" s="5">
        <v>48.0</v>
      </c>
      <c r="O35" s="4"/>
      <c r="P35" s="4" t="s">
        <v>28</v>
      </c>
      <c r="Q35" s="4" t="s">
        <v>28</v>
      </c>
      <c r="R35" s="4" t="s">
        <v>28</v>
      </c>
      <c r="S35" s="4"/>
      <c r="T35" s="7">
        <v>4.0</v>
      </c>
      <c r="U35" s="8" t="str">
        <f t="shared" si="1"/>
        <v>DALLAS SITE5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ht="14.25" customHeight="1">
      <c r="A36" s="4" t="s">
        <v>21</v>
      </c>
      <c r="B36" s="4" t="s">
        <v>234</v>
      </c>
      <c r="C36" s="5">
        <v>1.0</v>
      </c>
      <c r="D36" s="4" t="s">
        <v>235</v>
      </c>
      <c r="E36" s="4" t="s">
        <v>236</v>
      </c>
      <c r="F36" s="4" t="s">
        <v>237</v>
      </c>
      <c r="G36" s="4" t="s">
        <v>238</v>
      </c>
      <c r="H36" s="4" t="s">
        <v>239</v>
      </c>
      <c r="I36" s="4" t="s">
        <v>240</v>
      </c>
      <c r="J36" s="5">
        <v>28.0</v>
      </c>
      <c r="K36" s="5">
        <v>52.0</v>
      </c>
      <c r="L36" s="5">
        <v>54.0</v>
      </c>
      <c r="M36" s="5">
        <v>59.0</v>
      </c>
      <c r="N36" s="5">
        <v>68.0</v>
      </c>
      <c r="O36" s="4" t="s">
        <v>241</v>
      </c>
      <c r="P36" s="4" t="s">
        <v>157</v>
      </c>
      <c r="Q36" s="4" t="s">
        <v>51</v>
      </c>
      <c r="R36" s="4" t="s">
        <v>28</v>
      </c>
      <c r="S36" s="4"/>
      <c r="T36" s="7">
        <v>2.0</v>
      </c>
      <c r="U36" s="8" t="str">
        <f t="shared" si="1"/>
        <v>DALLAS SITE5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ht="14.25" customHeight="1">
      <c r="A37" s="4" t="s">
        <v>21</v>
      </c>
      <c r="B37" s="4" t="s">
        <v>117</v>
      </c>
      <c r="C37" s="5">
        <v>1.0</v>
      </c>
      <c r="D37" s="4" t="s">
        <v>242</v>
      </c>
      <c r="E37" s="4" t="s">
        <v>243</v>
      </c>
      <c r="F37" s="4" t="s">
        <v>28</v>
      </c>
      <c r="G37" s="4" t="s">
        <v>214</v>
      </c>
      <c r="H37" s="4" t="s">
        <v>28</v>
      </c>
      <c r="I37" s="4" t="s">
        <v>244</v>
      </c>
      <c r="J37" s="9"/>
      <c r="K37" s="5">
        <v>21.0</v>
      </c>
      <c r="L37" s="9"/>
      <c r="M37" s="9"/>
      <c r="N37" s="9"/>
      <c r="O37" s="4" t="s">
        <v>245</v>
      </c>
      <c r="P37" s="4" t="s">
        <v>50</v>
      </c>
      <c r="Q37" s="4" t="s">
        <v>123</v>
      </c>
      <c r="R37" s="4" t="s">
        <v>123</v>
      </c>
      <c r="S37" s="4" t="s">
        <v>28</v>
      </c>
      <c r="T37" s="7">
        <v>2.0</v>
      </c>
      <c r="U37" s="8" t="str">
        <f t="shared" si="1"/>
        <v/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ht="14.25" customHeight="1">
      <c r="A38" s="4" t="s">
        <v>21</v>
      </c>
      <c r="B38" s="4" t="s">
        <v>246</v>
      </c>
      <c r="C38" s="5">
        <v>0.0</v>
      </c>
      <c r="D38" s="4" t="s">
        <v>247</v>
      </c>
      <c r="E38" s="4" t="s">
        <v>248</v>
      </c>
      <c r="F38" s="4" t="s">
        <v>28</v>
      </c>
      <c r="G38" s="4" t="s">
        <v>249</v>
      </c>
      <c r="H38" s="4" t="s">
        <v>28</v>
      </c>
      <c r="I38" s="4" t="s">
        <v>250</v>
      </c>
      <c r="J38" s="10"/>
      <c r="K38" s="7">
        <v>12.0</v>
      </c>
      <c r="L38" s="10"/>
      <c r="M38" s="10"/>
      <c r="N38" s="10"/>
      <c r="O38" s="4" t="s">
        <v>251</v>
      </c>
      <c r="P38" s="4" t="s">
        <v>59</v>
      </c>
      <c r="Q38" s="4" t="s">
        <v>123</v>
      </c>
      <c r="R38" s="4" t="s">
        <v>123</v>
      </c>
      <c r="S38" s="4" t="s">
        <v>28</v>
      </c>
      <c r="T38" s="7">
        <v>2.0</v>
      </c>
      <c r="U38" s="8" t="str">
        <f t="shared" si="1"/>
        <v/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ht="14.25" customHeight="1">
      <c r="A39" s="4" t="s">
        <v>21</v>
      </c>
      <c r="B39" s="4" t="s">
        <v>42</v>
      </c>
      <c r="C39" s="5">
        <v>1.0</v>
      </c>
      <c r="D39" s="4" t="s">
        <v>252</v>
      </c>
      <c r="E39" s="4" t="s">
        <v>253</v>
      </c>
      <c r="F39" s="4" t="s">
        <v>254</v>
      </c>
      <c r="G39" s="4" t="s">
        <v>40</v>
      </c>
      <c r="H39" s="4" t="s">
        <v>255</v>
      </c>
      <c r="I39" s="4" t="s">
        <v>256</v>
      </c>
      <c r="J39" s="7">
        <v>7.0</v>
      </c>
      <c r="K39" s="7">
        <v>20.0</v>
      </c>
      <c r="L39" s="7">
        <v>36.0</v>
      </c>
      <c r="M39" s="7">
        <v>39.0</v>
      </c>
      <c r="N39" s="7">
        <v>36.0</v>
      </c>
      <c r="O39" s="4" t="s">
        <v>257</v>
      </c>
      <c r="P39" s="4" t="s">
        <v>50</v>
      </c>
      <c r="Q39" s="4" t="s">
        <v>28</v>
      </c>
      <c r="R39" s="4" t="s">
        <v>28</v>
      </c>
      <c r="S39" s="4"/>
      <c r="T39" s="7">
        <v>6.0</v>
      </c>
      <c r="U39" s="8" t="str">
        <f t="shared" si="1"/>
        <v>DALLAS SITE5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ht="14.25" customHeight="1">
      <c r="A40" s="4" t="s">
        <v>52</v>
      </c>
      <c r="B40" s="4" t="s">
        <v>258</v>
      </c>
      <c r="C40" s="5">
        <v>5.0</v>
      </c>
      <c r="D40" s="4" t="s">
        <v>259</v>
      </c>
      <c r="E40" s="4" t="s">
        <v>260</v>
      </c>
      <c r="F40" s="4" t="s">
        <v>28</v>
      </c>
      <c r="G40" s="4" t="s">
        <v>26</v>
      </c>
      <c r="H40" s="4" t="s">
        <v>261</v>
      </c>
      <c r="I40" s="4" t="s">
        <v>262</v>
      </c>
      <c r="J40" s="10"/>
      <c r="K40" s="10"/>
      <c r="L40" s="10"/>
      <c r="M40" s="10"/>
      <c r="N40" s="10"/>
      <c r="O40" s="4" t="s">
        <v>263</v>
      </c>
      <c r="P40" s="4" t="s">
        <v>193</v>
      </c>
      <c r="Q40" s="4" t="s">
        <v>28</v>
      </c>
      <c r="R40" s="4" t="s">
        <v>28</v>
      </c>
      <c r="S40" s="4" t="s">
        <v>28</v>
      </c>
      <c r="T40" s="10"/>
      <c r="U40" s="8" t="str">
        <f t="shared" si="1"/>
        <v/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ht="14.25" customHeight="1">
      <c r="A41" s="4" t="s">
        <v>52</v>
      </c>
      <c r="B41" s="4" t="s">
        <v>104</v>
      </c>
      <c r="C41" s="5">
        <v>4.0</v>
      </c>
      <c r="D41" s="4" t="s">
        <v>264</v>
      </c>
      <c r="E41" s="4" t="s">
        <v>265</v>
      </c>
      <c r="F41" s="4" t="s">
        <v>28</v>
      </c>
      <c r="G41" s="4" t="s">
        <v>69</v>
      </c>
      <c r="H41" s="4" t="s">
        <v>266</v>
      </c>
      <c r="I41" s="4" t="s">
        <v>267</v>
      </c>
      <c r="J41" s="7">
        <v>0.0</v>
      </c>
      <c r="K41" s="7">
        <v>0.0</v>
      </c>
      <c r="L41" s="7">
        <v>0.0</v>
      </c>
      <c r="M41" s="7">
        <v>0.0</v>
      </c>
      <c r="N41" s="7">
        <v>0.0</v>
      </c>
      <c r="O41" s="4" t="s">
        <v>268</v>
      </c>
      <c r="P41" s="4" t="s">
        <v>50</v>
      </c>
      <c r="Q41" s="4" t="s">
        <v>28</v>
      </c>
      <c r="R41" s="4" t="s">
        <v>28</v>
      </c>
      <c r="S41" s="4" t="s">
        <v>28</v>
      </c>
      <c r="T41" s="10"/>
      <c r="U41" s="8" t="str">
        <f t="shared" si="1"/>
        <v>DALLAS SITE5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ht="14.25" customHeight="1">
      <c r="A42" s="4" t="s">
        <v>21</v>
      </c>
      <c r="B42" s="4" t="s">
        <v>22</v>
      </c>
      <c r="C42" s="5">
        <v>2.0</v>
      </c>
      <c r="D42" s="4" t="s">
        <v>269</v>
      </c>
      <c r="E42" s="4" t="s">
        <v>270</v>
      </c>
      <c r="F42" s="4" t="s">
        <v>271</v>
      </c>
      <c r="G42" s="4" t="s">
        <v>272</v>
      </c>
      <c r="H42" s="4"/>
      <c r="I42" s="4" t="s">
        <v>273</v>
      </c>
      <c r="J42" s="5">
        <v>15.0</v>
      </c>
      <c r="K42" s="5">
        <v>14.0</v>
      </c>
      <c r="L42" s="5">
        <v>25.0</v>
      </c>
      <c r="M42" s="5">
        <v>28.0</v>
      </c>
      <c r="N42" s="5">
        <v>26.0</v>
      </c>
      <c r="O42" s="4"/>
      <c r="P42" s="4" t="s">
        <v>28</v>
      </c>
      <c r="Q42" s="4" t="s">
        <v>28</v>
      </c>
      <c r="R42" s="4" t="s">
        <v>28</v>
      </c>
      <c r="S42" s="4"/>
      <c r="T42" s="7">
        <v>3.0</v>
      </c>
      <c r="U42" s="8" t="str">
        <f t="shared" si="1"/>
        <v>GRAPEVINE SITE1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ht="14.25" customHeight="1">
      <c r="A43" s="4" t="s">
        <v>52</v>
      </c>
      <c r="B43" s="4" t="s">
        <v>274</v>
      </c>
      <c r="C43" s="5">
        <v>1.0</v>
      </c>
      <c r="D43" s="4" t="s">
        <v>275</v>
      </c>
      <c r="E43" s="4" t="s">
        <v>270</v>
      </c>
      <c r="F43" s="4" t="s">
        <v>28</v>
      </c>
      <c r="G43" s="4" t="s">
        <v>276</v>
      </c>
      <c r="H43" s="4" t="s">
        <v>28</v>
      </c>
      <c r="I43" s="4" t="s">
        <v>277</v>
      </c>
      <c r="J43" s="9"/>
      <c r="K43" s="5">
        <v>17.0</v>
      </c>
      <c r="L43" s="9"/>
      <c r="M43" s="9"/>
      <c r="N43" s="9"/>
      <c r="O43" s="4" t="s">
        <v>278</v>
      </c>
      <c r="P43" s="4" t="s">
        <v>50</v>
      </c>
      <c r="Q43" s="4" t="s">
        <v>123</v>
      </c>
      <c r="R43" s="4" t="s">
        <v>123</v>
      </c>
      <c r="S43" s="4" t="s">
        <v>28</v>
      </c>
      <c r="T43" s="7">
        <v>0.0</v>
      </c>
      <c r="U43" s="8" t="str">
        <f t="shared" si="1"/>
        <v/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ht="14.25" customHeight="1">
      <c r="A44" s="4" t="s">
        <v>52</v>
      </c>
      <c r="B44" s="4" t="s">
        <v>258</v>
      </c>
      <c r="C44" s="5">
        <v>5.0</v>
      </c>
      <c r="D44" s="4" t="s">
        <v>279</v>
      </c>
      <c r="E44" s="4" t="s">
        <v>280</v>
      </c>
      <c r="F44" s="4" t="s">
        <v>28</v>
      </c>
      <c r="G44" s="4" t="s">
        <v>108</v>
      </c>
      <c r="H44" s="4" t="s">
        <v>281</v>
      </c>
      <c r="I44" s="4" t="s">
        <v>282</v>
      </c>
      <c r="J44" s="9"/>
      <c r="K44" s="9"/>
      <c r="L44" s="9"/>
      <c r="M44" s="9"/>
      <c r="N44" s="9"/>
      <c r="O44" s="4" t="s">
        <v>283</v>
      </c>
      <c r="P44" s="4" t="s">
        <v>193</v>
      </c>
      <c r="Q44" s="4" t="s">
        <v>28</v>
      </c>
      <c r="R44" s="4" t="s">
        <v>28</v>
      </c>
      <c r="S44" s="4" t="s">
        <v>28</v>
      </c>
      <c r="T44" s="9"/>
      <c r="U44" s="8" t="str">
        <f t="shared" si="1"/>
        <v/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ht="14.25" customHeight="1">
      <c r="A45" s="4" t="s">
        <v>21</v>
      </c>
      <c r="B45" s="4" t="s">
        <v>22</v>
      </c>
      <c r="C45" s="5">
        <v>2.0</v>
      </c>
      <c r="D45" s="4" t="s">
        <v>284</v>
      </c>
      <c r="E45" s="4" t="s">
        <v>285</v>
      </c>
      <c r="F45" s="4" t="s">
        <v>286</v>
      </c>
      <c r="G45" s="4" t="s">
        <v>272</v>
      </c>
      <c r="H45" s="4"/>
      <c r="I45" s="4" t="s">
        <v>287</v>
      </c>
      <c r="J45" s="5">
        <v>15.0</v>
      </c>
      <c r="K45" s="5">
        <v>14.0</v>
      </c>
      <c r="L45" s="5">
        <v>25.0</v>
      </c>
      <c r="M45" s="5">
        <v>28.0</v>
      </c>
      <c r="N45" s="5">
        <v>26.0</v>
      </c>
      <c r="O45" s="4"/>
      <c r="P45" s="4" t="s">
        <v>28</v>
      </c>
      <c r="Q45" s="4" t="s">
        <v>28</v>
      </c>
      <c r="R45" s="4" t="s">
        <v>28</v>
      </c>
      <c r="S45" s="4"/>
      <c r="T45" s="7">
        <v>1.0</v>
      </c>
      <c r="U45" s="8" t="str">
        <f t="shared" si="1"/>
        <v>GRAPEVINE SITE1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ht="14.25" customHeight="1">
      <c r="A46" s="4" t="s">
        <v>21</v>
      </c>
      <c r="B46" s="4" t="s">
        <v>288</v>
      </c>
      <c r="C46" s="5">
        <v>3.0</v>
      </c>
      <c r="D46" s="4" t="s">
        <v>289</v>
      </c>
      <c r="E46" s="4" t="s">
        <v>290</v>
      </c>
      <c r="F46" s="4" t="s">
        <v>28</v>
      </c>
      <c r="G46" s="4" t="s">
        <v>291</v>
      </c>
      <c r="H46" s="4" t="s">
        <v>292</v>
      </c>
      <c r="I46" s="4" t="s">
        <v>293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  <c r="O46" s="4" t="s">
        <v>294</v>
      </c>
      <c r="P46" s="4" t="s">
        <v>59</v>
      </c>
      <c r="Q46" s="4" t="s">
        <v>28</v>
      </c>
      <c r="R46" s="4" t="s">
        <v>28</v>
      </c>
      <c r="S46" s="4" t="s">
        <v>28</v>
      </c>
      <c r="T46" s="7">
        <v>4.0</v>
      </c>
      <c r="U46" s="8" t="str">
        <f t="shared" si="1"/>
        <v>DALLAS SITE5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ht="14.25" customHeight="1">
      <c r="A47" s="4" t="s">
        <v>21</v>
      </c>
      <c r="B47" s="4" t="s">
        <v>288</v>
      </c>
      <c r="C47" s="5">
        <v>0.0</v>
      </c>
      <c r="D47" s="4" t="s">
        <v>295</v>
      </c>
      <c r="E47" s="4" t="s">
        <v>296</v>
      </c>
      <c r="F47" s="4" t="s">
        <v>297</v>
      </c>
      <c r="G47" s="4" t="s">
        <v>127</v>
      </c>
      <c r="H47" s="4" t="s">
        <v>298</v>
      </c>
      <c r="I47" s="4" t="s">
        <v>299</v>
      </c>
      <c r="J47" s="5">
        <v>29.0</v>
      </c>
      <c r="K47" s="5">
        <v>5.0</v>
      </c>
      <c r="L47" s="5">
        <v>20.0</v>
      </c>
      <c r="M47" s="5">
        <v>17.0</v>
      </c>
      <c r="N47" s="5">
        <v>11.0</v>
      </c>
      <c r="O47" s="4" t="s">
        <v>300</v>
      </c>
      <c r="P47" s="4" t="s">
        <v>59</v>
      </c>
      <c r="Q47" s="4" t="s">
        <v>28</v>
      </c>
      <c r="R47" s="4" t="s">
        <v>28</v>
      </c>
      <c r="S47" s="4"/>
      <c r="T47" s="5">
        <v>5.0</v>
      </c>
      <c r="U47" s="8" t="str">
        <f t="shared" si="1"/>
        <v>GRAPEVINE SITE1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ht="14.25" customHeight="1">
      <c r="A48" s="4" t="s">
        <v>21</v>
      </c>
      <c r="B48" s="4" t="s">
        <v>42</v>
      </c>
      <c r="C48" s="5">
        <v>1.0</v>
      </c>
      <c r="D48" s="4" t="s">
        <v>301</v>
      </c>
      <c r="E48" s="4" t="s">
        <v>302</v>
      </c>
      <c r="F48" s="4" t="s">
        <v>303</v>
      </c>
      <c r="G48" s="4" t="s">
        <v>304</v>
      </c>
      <c r="H48" s="4" t="s">
        <v>305</v>
      </c>
      <c r="I48" s="4" t="s">
        <v>306</v>
      </c>
      <c r="J48" s="5">
        <v>33.0</v>
      </c>
      <c r="K48" s="5">
        <v>15.0</v>
      </c>
      <c r="L48" s="5">
        <v>10.0</v>
      </c>
      <c r="M48" s="5">
        <v>15.0</v>
      </c>
      <c r="N48" s="5">
        <v>21.0</v>
      </c>
      <c r="O48" s="4" t="s">
        <v>307</v>
      </c>
      <c r="P48" s="4" t="s">
        <v>87</v>
      </c>
      <c r="Q48" s="4" t="s">
        <v>28</v>
      </c>
      <c r="R48" s="4" t="s">
        <v>28</v>
      </c>
      <c r="S48" s="4"/>
      <c r="T48" s="7">
        <v>2.0</v>
      </c>
      <c r="U48" s="8" t="str">
        <f t="shared" si="1"/>
        <v>ARLINGTON SITE2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ht="14.25" customHeight="1">
      <c r="A49" s="4" t="s">
        <v>21</v>
      </c>
      <c r="B49" s="4" t="s">
        <v>22</v>
      </c>
      <c r="C49" s="5">
        <v>2.0</v>
      </c>
      <c r="D49" s="4" t="s">
        <v>308</v>
      </c>
      <c r="E49" s="4" t="s">
        <v>309</v>
      </c>
      <c r="F49" s="4" t="s">
        <v>310</v>
      </c>
      <c r="G49" s="4" t="s">
        <v>108</v>
      </c>
      <c r="H49" s="4"/>
      <c r="I49" s="4" t="s">
        <v>311</v>
      </c>
      <c r="J49" s="5">
        <v>55.0</v>
      </c>
      <c r="K49" s="5">
        <v>33.0</v>
      </c>
      <c r="L49" s="5">
        <v>21.0</v>
      </c>
      <c r="M49" s="5">
        <v>10.0</v>
      </c>
      <c r="N49" s="5">
        <v>23.0</v>
      </c>
      <c r="O49" s="4"/>
      <c r="P49" s="4" t="s">
        <v>28</v>
      </c>
      <c r="Q49" s="4" t="s">
        <v>28</v>
      </c>
      <c r="R49" s="4" t="s">
        <v>28</v>
      </c>
      <c r="S49" s="4"/>
      <c r="T49" s="7">
        <v>1.0</v>
      </c>
      <c r="U49" s="8" t="str">
        <f t="shared" si="1"/>
        <v>ARLINGTON SITE2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ht="14.25" customHeight="1">
      <c r="A50" s="4" t="s">
        <v>21</v>
      </c>
      <c r="B50" s="4" t="s">
        <v>22</v>
      </c>
      <c r="C50" s="5">
        <v>2.0</v>
      </c>
      <c r="D50" s="4" t="s">
        <v>124</v>
      </c>
      <c r="E50" s="4" t="s">
        <v>309</v>
      </c>
      <c r="F50" s="4" t="s">
        <v>312</v>
      </c>
      <c r="G50" s="4" t="s">
        <v>108</v>
      </c>
      <c r="H50" s="4"/>
      <c r="I50" s="4" t="s">
        <v>313</v>
      </c>
      <c r="J50" s="5">
        <v>55.0</v>
      </c>
      <c r="K50" s="5">
        <v>33.0</v>
      </c>
      <c r="L50" s="5">
        <v>21.0</v>
      </c>
      <c r="M50" s="5">
        <v>10.0</v>
      </c>
      <c r="N50" s="5">
        <v>23.0</v>
      </c>
      <c r="O50" s="4"/>
      <c r="P50" s="4" t="s">
        <v>28</v>
      </c>
      <c r="Q50" s="4" t="s">
        <v>28</v>
      </c>
      <c r="R50" s="4" t="s">
        <v>28</v>
      </c>
      <c r="S50" s="4"/>
      <c r="T50" s="5">
        <v>1.0</v>
      </c>
      <c r="U50" s="8" t="str">
        <f t="shared" si="1"/>
        <v>ARLINGTON SITE2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ht="14.25" customHeight="1">
      <c r="A51" s="4" t="s">
        <v>21</v>
      </c>
      <c r="B51" s="4" t="s">
        <v>185</v>
      </c>
      <c r="C51" s="5">
        <v>1.0</v>
      </c>
      <c r="D51" s="4" t="s">
        <v>124</v>
      </c>
      <c r="E51" s="4" t="s">
        <v>314</v>
      </c>
      <c r="F51" s="4" t="s">
        <v>315</v>
      </c>
      <c r="G51" s="4" t="s">
        <v>108</v>
      </c>
      <c r="H51" s="4" t="s">
        <v>316</v>
      </c>
      <c r="I51" s="4" t="s">
        <v>317</v>
      </c>
      <c r="J51" s="5">
        <v>48.0</v>
      </c>
      <c r="K51" s="5">
        <v>25.0</v>
      </c>
      <c r="L51" s="5">
        <v>25.0</v>
      </c>
      <c r="M51" s="5">
        <v>14.0</v>
      </c>
      <c r="N51" s="5">
        <v>7.0</v>
      </c>
      <c r="O51" s="4" t="s">
        <v>318</v>
      </c>
      <c r="P51" s="4" t="s">
        <v>319</v>
      </c>
      <c r="Q51" s="4" t="s">
        <v>51</v>
      </c>
      <c r="R51" s="4" t="s">
        <v>28</v>
      </c>
      <c r="S51" s="4" t="s">
        <v>92</v>
      </c>
      <c r="T51" s="7">
        <v>9.0</v>
      </c>
      <c r="U51" s="8" t="str">
        <f t="shared" si="1"/>
        <v>MATTS SITE4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ht="14.25" customHeight="1">
      <c r="A52" s="4" t="s">
        <v>21</v>
      </c>
      <c r="B52" s="4" t="s">
        <v>185</v>
      </c>
      <c r="C52" s="5">
        <v>5.0</v>
      </c>
      <c r="D52" s="4" t="s">
        <v>320</v>
      </c>
      <c r="E52" s="4" t="s">
        <v>321</v>
      </c>
      <c r="F52" s="4" t="s">
        <v>322</v>
      </c>
      <c r="G52" s="4" t="s">
        <v>323</v>
      </c>
      <c r="H52" s="4" t="s">
        <v>324</v>
      </c>
      <c r="I52" s="4" t="s">
        <v>28</v>
      </c>
      <c r="J52" s="5">
        <v>38.0</v>
      </c>
      <c r="K52" s="5">
        <v>17.0</v>
      </c>
      <c r="L52" s="5">
        <v>16.0</v>
      </c>
      <c r="M52" s="5">
        <v>0.0</v>
      </c>
      <c r="N52" s="5">
        <v>5.0</v>
      </c>
      <c r="O52" s="4" t="s">
        <v>325</v>
      </c>
      <c r="P52" s="4" t="s">
        <v>193</v>
      </c>
      <c r="Q52" s="4" t="s">
        <v>28</v>
      </c>
      <c r="R52" s="4" t="s">
        <v>28</v>
      </c>
      <c r="S52" s="4" t="s">
        <v>92</v>
      </c>
      <c r="T52" s="5">
        <v>2.0</v>
      </c>
      <c r="U52" s="8" t="str">
        <f t="shared" si="1"/>
        <v>MATTS SITE4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ht="14.25" customHeight="1">
      <c r="A53" s="4" t="s">
        <v>21</v>
      </c>
      <c r="B53" s="4" t="s">
        <v>22</v>
      </c>
      <c r="C53" s="5">
        <v>2.0</v>
      </c>
      <c r="D53" s="4" t="s">
        <v>326</v>
      </c>
      <c r="E53" s="4" t="s">
        <v>327</v>
      </c>
      <c r="F53" s="4" t="s">
        <v>328</v>
      </c>
      <c r="G53" s="4" t="s">
        <v>329</v>
      </c>
      <c r="H53" s="4" t="s">
        <v>330</v>
      </c>
      <c r="I53" s="4" t="s">
        <v>331</v>
      </c>
      <c r="J53" s="5">
        <v>8.0</v>
      </c>
      <c r="K53" s="5">
        <v>33.0</v>
      </c>
      <c r="L53" s="5">
        <v>42.0</v>
      </c>
      <c r="M53" s="5">
        <v>46.0</v>
      </c>
      <c r="N53" s="5">
        <v>43.0</v>
      </c>
      <c r="O53" s="4" t="s">
        <v>35</v>
      </c>
      <c r="P53" s="4" t="s">
        <v>28</v>
      </c>
      <c r="Q53" s="4" t="s">
        <v>28</v>
      </c>
      <c r="R53" s="4" t="s">
        <v>28</v>
      </c>
      <c r="S53" s="4"/>
      <c r="T53" s="5">
        <v>6.0</v>
      </c>
      <c r="U53" s="8" t="str">
        <f t="shared" si="1"/>
        <v>DALLAS SITE5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ht="14.25" customHeight="1">
      <c r="A54" s="4" t="s">
        <v>21</v>
      </c>
      <c r="B54" s="4" t="s">
        <v>42</v>
      </c>
      <c r="C54" s="5">
        <v>1.0</v>
      </c>
      <c r="D54" s="4" t="s">
        <v>29</v>
      </c>
      <c r="E54" s="4" t="s">
        <v>332</v>
      </c>
      <c r="F54" s="4" t="s">
        <v>333</v>
      </c>
      <c r="G54" s="4" t="s">
        <v>26</v>
      </c>
      <c r="H54" s="4" t="s">
        <v>334</v>
      </c>
      <c r="I54" s="4" t="s">
        <v>335</v>
      </c>
      <c r="J54" s="5">
        <v>13.0</v>
      </c>
      <c r="K54" s="5">
        <v>33.0</v>
      </c>
      <c r="L54" s="5">
        <v>52.0</v>
      </c>
      <c r="M54" s="5">
        <v>54.0</v>
      </c>
      <c r="N54" s="5">
        <v>51.0</v>
      </c>
      <c r="O54" s="4" t="s">
        <v>336</v>
      </c>
      <c r="P54" s="4" t="s">
        <v>50</v>
      </c>
      <c r="Q54" s="4" t="s">
        <v>28</v>
      </c>
      <c r="R54" s="4" t="s">
        <v>28</v>
      </c>
      <c r="S54" s="4"/>
      <c r="T54" s="5">
        <v>4.0</v>
      </c>
      <c r="U54" s="8" t="str">
        <f t="shared" si="1"/>
        <v>DALLAS SITE5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ht="14.25" customHeight="1">
      <c r="A55" s="4" t="s">
        <v>21</v>
      </c>
      <c r="B55" s="4" t="s">
        <v>22</v>
      </c>
      <c r="C55" s="5">
        <v>2.0</v>
      </c>
      <c r="D55" s="4" t="s">
        <v>337</v>
      </c>
      <c r="E55" s="4" t="s">
        <v>338</v>
      </c>
      <c r="F55" s="4" t="s">
        <v>339</v>
      </c>
      <c r="G55" s="4" t="s">
        <v>69</v>
      </c>
      <c r="H55" s="4"/>
      <c r="I55" s="4" t="s">
        <v>340</v>
      </c>
      <c r="J55" s="7">
        <v>3.0</v>
      </c>
      <c r="K55" s="7">
        <v>27.0</v>
      </c>
      <c r="L55" s="7">
        <v>42.0</v>
      </c>
      <c r="M55" s="7">
        <v>46.0</v>
      </c>
      <c r="N55" s="7">
        <v>44.0</v>
      </c>
      <c r="O55" s="4"/>
      <c r="P55" s="4" t="s">
        <v>28</v>
      </c>
      <c r="Q55" s="4" t="s">
        <v>28</v>
      </c>
      <c r="R55" s="4" t="s">
        <v>28</v>
      </c>
      <c r="S55" s="4"/>
      <c r="T55" s="7">
        <v>4.0</v>
      </c>
      <c r="U55" s="8" t="str">
        <f t="shared" si="1"/>
        <v>DALLAS SITE5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ht="14.25" customHeight="1">
      <c r="A56" s="4" t="s">
        <v>21</v>
      </c>
      <c r="B56" s="4" t="s">
        <v>42</v>
      </c>
      <c r="C56" s="5">
        <v>1.0</v>
      </c>
      <c r="D56" s="4" t="s">
        <v>181</v>
      </c>
      <c r="E56" s="4" t="s">
        <v>341</v>
      </c>
      <c r="F56" s="4" t="s">
        <v>342</v>
      </c>
      <c r="G56" s="4" t="s">
        <v>304</v>
      </c>
      <c r="H56" s="4" t="s">
        <v>343</v>
      </c>
      <c r="I56" s="4" t="s">
        <v>344</v>
      </c>
      <c r="J56" s="5">
        <v>41.0</v>
      </c>
      <c r="K56" s="5">
        <v>22.0</v>
      </c>
      <c r="L56" s="5">
        <v>0.0</v>
      </c>
      <c r="M56" s="5">
        <v>14.0</v>
      </c>
      <c r="N56" s="5">
        <v>25.0</v>
      </c>
      <c r="O56" s="4" t="s">
        <v>345</v>
      </c>
      <c r="P56" s="4" t="s">
        <v>50</v>
      </c>
      <c r="Q56" s="4" t="s">
        <v>28</v>
      </c>
      <c r="R56" s="4" t="s">
        <v>28</v>
      </c>
      <c r="S56" s="4"/>
      <c r="T56" s="5">
        <v>6.0</v>
      </c>
      <c r="U56" s="8" t="str">
        <f t="shared" si="1"/>
        <v>ARLINGTON SITE2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ht="14.25" customHeight="1">
      <c r="A57" s="4" t="s">
        <v>21</v>
      </c>
      <c r="B57" s="4" t="s">
        <v>42</v>
      </c>
      <c r="C57" s="5">
        <v>1.0</v>
      </c>
      <c r="D57" s="4" t="s">
        <v>346</v>
      </c>
      <c r="E57" s="4" t="s">
        <v>341</v>
      </c>
      <c r="F57" s="4" t="s">
        <v>342</v>
      </c>
      <c r="G57" s="4" t="s">
        <v>304</v>
      </c>
      <c r="H57" s="4" t="s">
        <v>347</v>
      </c>
      <c r="I57" s="4" t="s">
        <v>348</v>
      </c>
      <c r="J57" s="5">
        <v>41.0</v>
      </c>
      <c r="K57" s="5">
        <v>22.0</v>
      </c>
      <c r="L57" s="5">
        <v>0.0</v>
      </c>
      <c r="M57" s="5">
        <v>14.0</v>
      </c>
      <c r="N57" s="5">
        <v>25.0</v>
      </c>
      <c r="O57" s="4" t="s">
        <v>349</v>
      </c>
      <c r="P57" s="4" t="s">
        <v>50</v>
      </c>
      <c r="Q57" s="4" t="s">
        <v>28</v>
      </c>
      <c r="R57" s="4" t="s">
        <v>28</v>
      </c>
      <c r="S57" s="4"/>
      <c r="T57" s="5">
        <v>6.0</v>
      </c>
      <c r="U57" s="8" t="str">
        <f t="shared" si="1"/>
        <v>ARLINGTON SITE2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ht="14.25" customHeight="1">
      <c r="A58" s="4" t="s">
        <v>21</v>
      </c>
      <c r="B58" s="4" t="s">
        <v>22</v>
      </c>
      <c r="C58" s="5">
        <v>2.0</v>
      </c>
      <c r="D58" s="4" t="s">
        <v>212</v>
      </c>
      <c r="E58" s="4" t="s">
        <v>350</v>
      </c>
      <c r="F58" s="4" t="s">
        <v>351</v>
      </c>
      <c r="G58" s="4" t="s">
        <v>69</v>
      </c>
      <c r="H58" s="4" t="s">
        <v>352</v>
      </c>
      <c r="I58" s="4" t="s">
        <v>353</v>
      </c>
      <c r="J58" s="5">
        <v>18.0</v>
      </c>
      <c r="K58" s="5">
        <v>24.0</v>
      </c>
      <c r="L58" s="5">
        <v>27.0</v>
      </c>
      <c r="M58" s="5">
        <v>32.0</v>
      </c>
      <c r="N58" s="5">
        <v>35.0</v>
      </c>
      <c r="O58" s="4" t="s">
        <v>35</v>
      </c>
      <c r="P58" s="4" t="s">
        <v>28</v>
      </c>
      <c r="Q58" s="4" t="s">
        <v>28</v>
      </c>
      <c r="R58" s="4" t="s">
        <v>28</v>
      </c>
      <c r="S58" s="4"/>
      <c r="T58" s="5">
        <v>1.0</v>
      </c>
      <c r="U58" s="8" t="str">
        <f t="shared" si="1"/>
        <v>DALLAS SITE5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ht="14.25" customHeight="1">
      <c r="A59" s="4" t="s">
        <v>21</v>
      </c>
      <c r="B59" s="4" t="s">
        <v>185</v>
      </c>
      <c r="C59" s="5">
        <v>1.0</v>
      </c>
      <c r="D59" s="4" t="s">
        <v>354</v>
      </c>
      <c r="E59" s="4" t="s">
        <v>355</v>
      </c>
      <c r="F59" s="4" t="s">
        <v>356</v>
      </c>
      <c r="G59" s="4" t="s">
        <v>357</v>
      </c>
      <c r="H59" s="4" t="s">
        <v>358</v>
      </c>
      <c r="I59" s="4" t="s">
        <v>359</v>
      </c>
      <c r="J59" s="5">
        <v>45.0</v>
      </c>
      <c r="K59" s="5">
        <v>30.0</v>
      </c>
      <c r="L59" s="5">
        <v>29.0</v>
      </c>
      <c r="M59" s="5">
        <v>18.0</v>
      </c>
      <c r="N59" s="5">
        <v>11.0</v>
      </c>
      <c r="O59" s="4" t="s">
        <v>360</v>
      </c>
      <c r="P59" s="4" t="s">
        <v>193</v>
      </c>
      <c r="Q59" s="4" t="s">
        <v>28</v>
      </c>
      <c r="R59" s="4" t="s">
        <v>28</v>
      </c>
      <c r="S59" s="4"/>
      <c r="T59" s="5">
        <v>4.0</v>
      </c>
      <c r="U59" s="8" t="str">
        <f t="shared" si="1"/>
        <v>MATTS SITE4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ht="14.25" customHeight="1">
      <c r="A60" s="4" t="s">
        <v>21</v>
      </c>
      <c r="B60" s="4" t="s">
        <v>22</v>
      </c>
      <c r="C60" s="5">
        <v>2.0</v>
      </c>
      <c r="D60" s="4" t="s">
        <v>37</v>
      </c>
      <c r="E60" s="4" t="s">
        <v>361</v>
      </c>
      <c r="F60" s="4" t="s">
        <v>362</v>
      </c>
      <c r="G60" s="4" t="s">
        <v>108</v>
      </c>
      <c r="H60" s="4"/>
      <c r="I60" s="4" t="s">
        <v>363</v>
      </c>
      <c r="J60" s="5">
        <v>44.0</v>
      </c>
      <c r="K60" s="5">
        <v>21.0</v>
      </c>
      <c r="L60" s="5">
        <v>15.0</v>
      </c>
      <c r="M60" s="5">
        <v>4.0</v>
      </c>
      <c r="N60" s="5">
        <v>11.0</v>
      </c>
      <c r="O60" s="4"/>
      <c r="P60" s="4" t="s">
        <v>28</v>
      </c>
      <c r="Q60" s="4" t="s">
        <v>28</v>
      </c>
      <c r="R60" s="4" t="s">
        <v>28</v>
      </c>
      <c r="S60" s="4"/>
      <c r="T60" s="5">
        <v>2.0</v>
      </c>
      <c r="U60" s="8" t="str">
        <f t="shared" si="1"/>
        <v>MATTS SITE4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ht="14.25" customHeight="1">
      <c r="A61" s="4" t="s">
        <v>21</v>
      </c>
      <c r="B61" s="4" t="s">
        <v>42</v>
      </c>
      <c r="C61" s="5">
        <v>1.0</v>
      </c>
      <c r="D61" s="4" t="s">
        <v>364</v>
      </c>
      <c r="E61" s="4" t="s">
        <v>365</v>
      </c>
      <c r="F61" s="4" t="s">
        <v>366</v>
      </c>
      <c r="G61" s="4" t="s">
        <v>291</v>
      </c>
      <c r="H61" s="4" t="s">
        <v>367</v>
      </c>
      <c r="I61" s="4" t="s">
        <v>368</v>
      </c>
      <c r="J61" s="5">
        <v>25.0</v>
      </c>
      <c r="K61" s="5">
        <v>0.0</v>
      </c>
      <c r="L61" s="5">
        <v>22.0</v>
      </c>
      <c r="M61" s="5">
        <v>21.0</v>
      </c>
      <c r="N61" s="5">
        <v>12.0</v>
      </c>
      <c r="O61" s="4" t="s">
        <v>369</v>
      </c>
      <c r="P61" s="4" t="s">
        <v>50</v>
      </c>
      <c r="Q61" s="4" t="s">
        <v>28</v>
      </c>
      <c r="R61" s="4" t="s">
        <v>28</v>
      </c>
      <c r="S61" s="4"/>
      <c r="T61" s="5">
        <v>9.0</v>
      </c>
      <c r="U61" s="8" t="str">
        <f t="shared" si="1"/>
        <v>GRAPEVINE SITE1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ht="14.25" customHeight="1">
      <c r="A62" s="4" t="s">
        <v>21</v>
      </c>
      <c r="B62" s="4" t="s">
        <v>22</v>
      </c>
      <c r="C62" s="5">
        <v>2.0</v>
      </c>
      <c r="D62" s="4" t="s">
        <v>354</v>
      </c>
      <c r="E62" s="4" t="s">
        <v>370</v>
      </c>
      <c r="F62" s="4" t="s">
        <v>371</v>
      </c>
      <c r="G62" s="4" t="s">
        <v>372</v>
      </c>
      <c r="H62" s="4"/>
      <c r="I62" s="4" t="s">
        <v>373</v>
      </c>
      <c r="J62" s="5">
        <v>40.0</v>
      </c>
      <c r="K62" s="5">
        <v>17.0</v>
      </c>
      <c r="L62" s="5">
        <v>14.0</v>
      </c>
      <c r="M62" s="5">
        <v>7.0</v>
      </c>
      <c r="N62" s="5">
        <v>8.0</v>
      </c>
      <c r="O62" s="4"/>
      <c r="P62" s="4" t="s">
        <v>28</v>
      </c>
      <c r="Q62" s="4" t="s">
        <v>28</v>
      </c>
      <c r="R62" s="4" t="s">
        <v>28</v>
      </c>
      <c r="S62" s="4"/>
      <c r="T62" s="5">
        <v>3.0</v>
      </c>
      <c r="U62" s="8" t="str">
        <f t="shared" si="1"/>
        <v>MATTS SITE4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ht="14.25" customHeight="1">
      <c r="A63" s="4" t="s">
        <v>21</v>
      </c>
      <c r="B63" s="4" t="s">
        <v>22</v>
      </c>
      <c r="C63" s="5">
        <v>2.0</v>
      </c>
      <c r="D63" s="4" t="s">
        <v>374</v>
      </c>
      <c r="E63" s="4" t="s">
        <v>375</v>
      </c>
      <c r="F63" s="4" t="s">
        <v>376</v>
      </c>
      <c r="G63" s="4" t="s">
        <v>357</v>
      </c>
      <c r="H63" s="4" t="s">
        <v>377</v>
      </c>
      <c r="I63" s="4" t="s">
        <v>378</v>
      </c>
      <c r="J63" s="5">
        <v>44.0</v>
      </c>
      <c r="K63" s="5">
        <v>28.0</v>
      </c>
      <c r="L63" s="5">
        <v>30.0</v>
      </c>
      <c r="M63" s="5">
        <v>18.0</v>
      </c>
      <c r="N63" s="5">
        <v>11.0</v>
      </c>
      <c r="O63" s="4" t="s">
        <v>35</v>
      </c>
      <c r="P63" s="4" t="s">
        <v>28</v>
      </c>
      <c r="Q63" s="4" t="s">
        <v>28</v>
      </c>
      <c r="R63" s="4" t="s">
        <v>28</v>
      </c>
      <c r="S63" s="4"/>
      <c r="T63" s="5">
        <v>10.0</v>
      </c>
      <c r="U63" s="8" t="str">
        <f t="shared" si="1"/>
        <v>MATTS SITE4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ht="14.25" customHeight="1">
      <c r="A64" s="4" t="s">
        <v>21</v>
      </c>
      <c r="B64" s="4" t="s">
        <v>22</v>
      </c>
      <c r="C64" s="5">
        <v>2.0</v>
      </c>
      <c r="D64" s="4" t="s">
        <v>73</v>
      </c>
      <c r="E64" s="4" t="s">
        <v>379</v>
      </c>
      <c r="F64" s="4" t="s">
        <v>380</v>
      </c>
      <c r="G64" s="4" t="s">
        <v>238</v>
      </c>
      <c r="H64" s="4"/>
      <c r="I64" s="4" t="s">
        <v>381</v>
      </c>
      <c r="J64" s="5">
        <v>27.0</v>
      </c>
      <c r="K64" s="5">
        <v>50.0</v>
      </c>
      <c r="L64" s="5">
        <v>54.0</v>
      </c>
      <c r="M64" s="5">
        <v>59.0</v>
      </c>
      <c r="N64" s="5">
        <v>67.0</v>
      </c>
      <c r="O64" s="4"/>
      <c r="P64" s="4" t="s">
        <v>28</v>
      </c>
      <c r="Q64" s="4" t="s">
        <v>28</v>
      </c>
      <c r="R64" s="4" t="s">
        <v>28</v>
      </c>
      <c r="S64" s="4"/>
      <c r="T64" s="5">
        <v>4.0</v>
      </c>
      <c r="U64" s="8" t="str">
        <f t="shared" si="1"/>
        <v>DALLAS SITE5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ht="14.25" customHeight="1">
      <c r="A65" s="4" t="s">
        <v>21</v>
      </c>
      <c r="B65" s="4" t="s">
        <v>22</v>
      </c>
      <c r="C65" s="5">
        <v>2.0</v>
      </c>
      <c r="D65" s="4" t="s">
        <v>382</v>
      </c>
      <c r="E65" s="4" t="s">
        <v>383</v>
      </c>
      <c r="F65" s="4" t="s">
        <v>384</v>
      </c>
      <c r="G65" s="4" t="s">
        <v>201</v>
      </c>
      <c r="H65" s="4" t="s">
        <v>385</v>
      </c>
      <c r="I65" s="4" t="s">
        <v>386</v>
      </c>
      <c r="J65" s="5">
        <v>33.0</v>
      </c>
      <c r="K65" s="5">
        <v>6.0</v>
      </c>
      <c r="L65" s="5">
        <v>16.0</v>
      </c>
      <c r="M65" s="5">
        <v>15.0</v>
      </c>
      <c r="N65" s="5">
        <v>11.0</v>
      </c>
      <c r="O65" s="4" t="s">
        <v>35</v>
      </c>
      <c r="P65" s="4" t="s">
        <v>28</v>
      </c>
      <c r="Q65" s="4" t="s">
        <v>28</v>
      </c>
      <c r="R65" s="4" t="s">
        <v>28</v>
      </c>
      <c r="S65" s="4"/>
      <c r="T65" s="5">
        <v>1.0</v>
      </c>
      <c r="U65" s="8" t="str">
        <f t="shared" si="1"/>
        <v>GRAPEVINE SITE1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ht="14.25" customHeight="1">
      <c r="A66" s="4" t="s">
        <v>21</v>
      </c>
      <c r="B66" s="4" t="s">
        <v>42</v>
      </c>
      <c r="C66" s="5">
        <v>1.0</v>
      </c>
      <c r="D66" s="4" t="s">
        <v>354</v>
      </c>
      <c r="E66" s="4" t="s">
        <v>387</v>
      </c>
      <c r="F66" s="4" t="s">
        <v>388</v>
      </c>
      <c r="G66" s="4" t="s">
        <v>69</v>
      </c>
      <c r="H66" s="4" t="s">
        <v>389</v>
      </c>
      <c r="I66" s="4" t="s">
        <v>390</v>
      </c>
      <c r="J66" s="5">
        <v>23.0</v>
      </c>
      <c r="K66" s="5">
        <v>30.0</v>
      </c>
      <c r="L66" s="5">
        <v>32.0</v>
      </c>
      <c r="M66" s="5">
        <v>37.0</v>
      </c>
      <c r="N66" s="5">
        <v>40.0</v>
      </c>
      <c r="O66" s="4" t="s">
        <v>391</v>
      </c>
      <c r="P66" s="4" t="s">
        <v>50</v>
      </c>
      <c r="Q66" s="4" t="s">
        <v>28</v>
      </c>
      <c r="R66" s="4" t="s">
        <v>28</v>
      </c>
      <c r="S66" s="4"/>
      <c r="T66" s="5">
        <v>4.0</v>
      </c>
      <c r="U66" s="8" t="str">
        <f t="shared" si="1"/>
        <v>DALLAS SITE5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ht="14.25" customHeight="1">
      <c r="A67" s="4" t="s">
        <v>21</v>
      </c>
      <c r="B67" s="4" t="s">
        <v>288</v>
      </c>
      <c r="C67" s="5">
        <v>0.0</v>
      </c>
      <c r="D67" s="4" t="s">
        <v>392</v>
      </c>
      <c r="E67" s="4" t="s">
        <v>393</v>
      </c>
      <c r="F67" s="4" t="s">
        <v>394</v>
      </c>
      <c r="G67" s="4" t="s">
        <v>395</v>
      </c>
      <c r="H67" s="4" t="s">
        <v>396</v>
      </c>
      <c r="I67" s="4" t="s">
        <v>397</v>
      </c>
      <c r="J67" s="5">
        <v>20.0</v>
      </c>
      <c r="K67" s="5">
        <v>34.0</v>
      </c>
      <c r="L67" s="5">
        <v>53.0</v>
      </c>
      <c r="M67" s="5">
        <v>53.0</v>
      </c>
      <c r="N67" s="5">
        <v>44.0</v>
      </c>
      <c r="O67" s="4" t="s">
        <v>398</v>
      </c>
      <c r="P67" s="4" t="s">
        <v>50</v>
      </c>
      <c r="Q67" s="4" t="s">
        <v>28</v>
      </c>
      <c r="R67" s="4" t="s">
        <v>28</v>
      </c>
      <c r="S67" s="4"/>
      <c r="T67" s="5">
        <v>1.0</v>
      </c>
      <c r="U67" s="8" t="str">
        <f t="shared" si="1"/>
        <v>DALLAS SITE5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ht="14.25" customHeight="1">
      <c r="A68" s="4" t="s">
        <v>52</v>
      </c>
      <c r="B68" s="4" t="s">
        <v>104</v>
      </c>
      <c r="C68" s="5">
        <v>4.0</v>
      </c>
      <c r="D68" s="4" t="s">
        <v>399</v>
      </c>
      <c r="E68" s="4" t="s">
        <v>393</v>
      </c>
      <c r="F68" s="4" t="s">
        <v>28</v>
      </c>
      <c r="G68" s="4" t="s">
        <v>214</v>
      </c>
      <c r="H68" s="4" t="s">
        <v>400</v>
      </c>
      <c r="I68" s="4" t="s">
        <v>401</v>
      </c>
      <c r="J68" s="5">
        <v>0.0</v>
      </c>
      <c r="K68" s="5">
        <v>0.0</v>
      </c>
      <c r="L68" s="5">
        <v>0.0</v>
      </c>
      <c r="M68" s="5">
        <v>0.0</v>
      </c>
      <c r="N68" s="5">
        <v>0.0</v>
      </c>
      <c r="O68" s="4" t="s">
        <v>402</v>
      </c>
      <c r="P68" s="4" t="s">
        <v>50</v>
      </c>
      <c r="Q68" s="4" t="s">
        <v>28</v>
      </c>
      <c r="R68" s="4" t="s">
        <v>28</v>
      </c>
      <c r="S68" s="4" t="s">
        <v>403</v>
      </c>
      <c r="T68" s="9"/>
      <c r="U68" s="8" t="str">
        <f t="shared" si="1"/>
        <v>DALLAS SITE5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ht="14.25" customHeight="1">
      <c r="A69" s="4" t="s">
        <v>21</v>
      </c>
      <c r="B69" s="4" t="s">
        <v>42</v>
      </c>
      <c r="C69" s="5">
        <v>1.0</v>
      </c>
      <c r="D69" s="4" t="s">
        <v>404</v>
      </c>
      <c r="E69" s="4" t="s">
        <v>405</v>
      </c>
      <c r="F69" s="4" t="s">
        <v>406</v>
      </c>
      <c r="G69" s="4" t="s">
        <v>108</v>
      </c>
      <c r="H69" s="4" t="s">
        <v>407</v>
      </c>
      <c r="I69" s="4" t="s">
        <v>408</v>
      </c>
      <c r="J69" s="5">
        <v>42.0</v>
      </c>
      <c r="K69" s="5">
        <v>12.0</v>
      </c>
      <c r="L69" s="5">
        <v>19.0</v>
      </c>
      <c r="M69" s="5">
        <v>13.0</v>
      </c>
      <c r="N69" s="5">
        <v>0.0</v>
      </c>
      <c r="O69" s="4" t="s">
        <v>409</v>
      </c>
      <c r="P69" s="4" t="s">
        <v>87</v>
      </c>
      <c r="Q69" s="4" t="s">
        <v>51</v>
      </c>
      <c r="R69" s="4" t="s">
        <v>28</v>
      </c>
      <c r="S69" s="4" t="s">
        <v>36</v>
      </c>
      <c r="T69" s="5">
        <v>5.0</v>
      </c>
      <c r="U69" s="8" t="str">
        <f t="shared" si="1"/>
        <v>MATTS SITE4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ht="14.25" customHeight="1">
      <c r="A70" s="4" t="s">
        <v>21</v>
      </c>
      <c r="B70" s="4" t="s">
        <v>288</v>
      </c>
      <c r="C70" s="5">
        <v>0.0</v>
      </c>
      <c r="D70" s="4" t="s">
        <v>410</v>
      </c>
      <c r="E70" s="4" t="s">
        <v>405</v>
      </c>
      <c r="F70" s="4" t="s">
        <v>406</v>
      </c>
      <c r="G70" s="4" t="s">
        <v>108</v>
      </c>
      <c r="H70" s="4" t="s">
        <v>411</v>
      </c>
      <c r="I70" s="4" t="s">
        <v>412</v>
      </c>
      <c r="J70" s="5">
        <v>42.0</v>
      </c>
      <c r="K70" s="5">
        <v>12.0</v>
      </c>
      <c r="L70" s="5">
        <v>19.0</v>
      </c>
      <c r="M70" s="5">
        <v>13.0</v>
      </c>
      <c r="N70" s="5">
        <v>0.0</v>
      </c>
      <c r="O70" s="4" t="s">
        <v>413</v>
      </c>
      <c r="P70" s="4" t="s">
        <v>59</v>
      </c>
      <c r="Q70" s="4" t="s">
        <v>28</v>
      </c>
      <c r="R70" s="4" t="s">
        <v>28</v>
      </c>
      <c r="S70" s="4" t="s">
        <v>36</v>
      </c>
      <c r="T70" s="5">
        <v>5.0</v>
      </c>
      <c r="U70" s="8" t="str">
        <f t="shared" si="1"/>
        <v>MATTS SITE4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ht="14.25" customHeight="1">
      <c r="A71" s="4" t="s">
        <v>21</v>
      </c>
      <c r="B71" s="4" t="s">
        <v>42</v>
      </c>
      <c r="C71" s="5">
        <v>1.0</v>
      </c>
      <c r="D71" s="4" t="s">
        <v>43</v>
      </c>
      <c r="E71" s="4" t="s">
        <v>414</v>
      </c>
      <c r="F71" s="4" t="s">
        <v>415</v>
      </c>
      <c r="G71" s="4" t="s">
        <v>46</v>
      </c>
      <c r="H71" s="4" t="s">
        <v>416</v>
      </c>
      <c r="I71" s="4" t="s">
        <v>417</v>
      </c>
      <c r="J71" s="5">
        <v>56.0</v>
      </c>
      <c r="K71" s="5">
        <v>36.0</v>
      </c>
      <c r="L71" s="5">
        <v>17.0</v>
      </c>
      <c r="M71" s="5">
        <v>13.0</v>
      </c>
      <c r="N71" s="5">
        <v>25.0</v>
      </c>
      <c r="O71" s="4" t="s">
        <v>418</v>
      </c>
      <c r="P71" s="4" t="s">
        <v>50</v>
      </c>
      <c r="Q71" s="4" t="s">
        <v>28</v>
      </c>
      <c r="R71" s="4" t="s">
        <v>28</v>
      </c>
      <c r="S71" s="4"/>
      <c r="T71" s="5">
        <v>4.0</v>
      </c>
      <c r="U71" s="8" t="str">
        <f t="shared" si="1"/>
        <v>ARLINGTON SITE2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ht="14.25" customHeight="1">
      <c r="A72" s="4" t="s">
        <v>21</v>
      </c>
      <c r="B72" s="4" t="s">
        <v>22</v>
      </c>
      <c r="C72" s="5">
        <v>2.0</v>
      </c>
      <c r="D72" s="4" t="s">
        <v>135</v>
      </c>
      <c r="E72" s="4" t="s">
        <v>419</v>
      </c>
      <c r="F72" s="4" t="s">
        <v>420</v>
      </c>
      <c r="G72" s="4" t="s">
        <v>214</v>
      </c>
      <c r="H72" s="4"/>
      <c r="I72" s="4" t="s">
        <v>421</v>
      </c>
      <c r="J72" s="5">
        <v>43.0</v>
      </c>
      <c r="K72" s="5">
        <v>28.0</v>
      </c>
      <c r="L72" s="5">
        <v>44.0</v>
      </c>
      <c r="M72" s="5">
        <v>32.0</v>
      </c>
      <c r="N72" s="5">
        <v>24.0</v>
      </c>
      <c r="O72" s="4"/>
      <c r="P72" s="4" t="s">
        <v>28</v>
      </c>
      <c r="Q72" s="4" t="s">
        <v>28</v>
      </c>
      <c r="R72" s="4" t="s">
        <v>28</v>
      </c>
      <c r="S72" s="4"/>
      <c r="T72" s="5">
        <v>4.0</v>
      </c>
      <c r="U72" s="8" t="str">
        <f t="shared" si="1"/>
        <v>MATTS SITE4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ht="14.25" customHeight="1">
      <c r="A73" s="4" t="s">
        <v>21</v>
      </c>
      <c r="B73" s="4" t="s">
        <v>22</v>
      </c>
      <c r="C73" s="5">
        <v>2.0</v>
      </c>
      <c r="D73" s="4" t="s">
        <v>147</v>
      </c>
      <c r="E73" s="4" t="s">
        <v>422</v>
      </c>
      <c r="F73" s="4" t="s">
        <v>423</v>
      </c>
      <c r="G73" s="4" t="s">
        <v>424</v>
      </c>
      <c r="H73" s="4"/>
      <c r="I73" s="4" t="s">
        <v>425</v>
      </c>
      <c r="J73" s="5">
        <v>26.0</v>
      </c>
      <c r="K73" s="5">
        <v>20.0</v>
      </c>
      <c r="L73" s="5">
        <v>40.0</v>
      </c>
      <c r="M73" s="5">
        <v>35.0</v>
      </c>
      <c r="N73" s="5">
        <v>27.0</v>
      </c>
      <c r="O73" s="4"/>
      <c r="P73" s="4" t="s">
        <v>28</v>
      </c>
      <c r="Q73" s="4" t="s">
        <v>28</v>
      </c>
      <c r="R73" s="4" t="s">
        <v>28</v>
      </c>
      <c r="S73" s="4"/>
      <c r="T73" s="5">
        <v>2.0</v>
      </c>
      <c r="U73" s="8" t="str">
        <f t="shared" si="1"/>
        <v>GRAPEVINE SITE1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ht="14.25" customHeight="1">
      <c r="A74" s="4" t="s">
        <v>21</v>
      </c>
      <c r="B74" s="4" t="s">
        <v>22</v>
      </c>
      <c r="C74" s="5">
        <v>2.0</v>
      </c>
      <c r="D74" s="4" t="s">
        <v>426</v>
      </c>
      <c r="E74" s="4" t="s">
        <v>427</v>
      </c>
      <c r="F74" s="4" t="s">
        <v>428</v>
      </c>
      <c r="G74" s="4" t="s">
        <v>108</v>
      </c>
      <c r="H74" s="4" t="s">
        <v>429</v>
      </c>
      <c r="I74" s="4" t="s">
        <v>430</v>
      </c>
      <c r="J74" s="5">
        <v>42.0</v>
      </c>
      <c r="K74" s="5">
        <v>12.0</v>
      </c>
      <c r="L74" s="5">
        <v>19.0</v>
      </c>
      <c r="M74" s="5">
        <v>14.0</v>
      </c>
      <c r="N74" s="5">
        <v>1.0</v>
      </c>
      <c r="O74" s="4" t="s">
        <v>35</v>
      </c>
      <c r="P74" s="4" t="s">
        <v>28</v>
      </c>
      <c r="Q74" s="4" t="s">
        <v>28</v>
      </c>
      <c r="R74" s="4" t="s">
        <v>28</v>
      </c>
      <c r="S74" s="4"/>
      <c r="T74" s="5">
        <v>3.0</v>
      </c>
      <c r="U74" s="8" t="str">
        <f t="shared" si="1"/>
        <v>MATTS SITE4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ht="14.25" customHeight="1">
      <c r="A75" s="4" t="s">
        <v>21</v>
      </c>
      <c r="B75" s="4" t="s">
        <v>234</v>
      </c>
      <c r="C75" s="5">
        <v>4.0</v>
      </c>
      <c r="D75" s="4" t="s">
        <v>51</v>
      </c>
      <c r="E75" s="4" t="s">
        <v>431</v>
      </c>
      <c r="F75" s="4" t="s">
        <v>432</v>
      </c>
      <c r="G75" s="4" t="s">
        <v>304</v>
      </c>
      <c r="H75" s="4" t="s">
        <v>433</v>
      </c>
      <c r="I75" s="4" t="s">
        <v>434</v>
      </c>
      <c r="J75" s="5">
        <v>42.0</v>
      </c>
      <c r="K75" s="5">
        <v>25.0</v>
      </c>
      <c r="L75" s="5">
        <v>2.0</v>
      </c>
      <c r="M75" s="5">
        <v>0.0</v>
      </c>
      <c r="N75" s="5">
        <v>25.0</v>
      </c>
      <c r="O75" s="4" t="s">
        <v>435</v>
      </c>
      <c r="P75" s="4" t="s">
        <v>157</v>
      </c>
      <c r="Q75" s="4" t="s">
        <v>51</v>
      </c>
      <c r="R75" s="4" t="s">
        <v>28</v>
      </c>
      <c r="S75" s="4" t="s">
        <v>211</v>
      </c>
      <c r="T75" s="5">
        <v>1.0</v>
      </c>
      <c r="U75" s="8" t="str">
        <f t="shared" si="1"/>
        <v>ARLINGTON SITE2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ht="14.25" customHeight="1">
      <c r="A76" s="4" t="s">
        <v>21</v>
      </c>
      <c r="B76" s="4" t="s">
        <v>42</v>
      </c>
      <c r="C76" s="5">
        <v>1.0</v>
      </c>
      <c r="D76" s="4" t="s">
        <v>436</v>
      </c>
      <c r="E76" s="4" t="s">
        <v>437</v>
      </c>
      <c r="F76" s="4" t="s">
        <v>438</v>
      </c>
      <c r="G76" s="4" t="s">
        <v>189</v>
      </c>
      <c r="H76" s="4" t="s">
        <v>439</v>
      </c>
      <c r="I76" s="4" t="s">
        <v>440</v>
      </c>
      <c r="J76" s="5">
        <v>15.0</v>
      </c>
      <c r="K76" s="5">
        <v>38.0</v>
      </c>
      <c r="L76" s="5">
        <v>54.0</v>
      </c>
      <c r="M76" s="5">
        <v>58.0</v>
      </c>
      <c r="N76" s="5">
        <v>55.0</v>
      </c>
      <c r="O76" s="4" t="s">
        <v>441</v>
      </c>
      <c r="P76" s="4" t="s">
        <v>50</v>
      </c>
      <c r="Q76" s="4" t="s">
        <v>28</v>
      </c>
      <c r="R76" s="4" t="s">
        <v>28</v>
      </c>
      <c r="S76" s="4"/>
      <c r="T76" s="5">
        <v>6.0</v>
      </c>
      <c r="U76" s="8" t="str">
        <f t="shared" si="1"/>
        <v>DALLAS SITE5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ht="14.25" customHeight="1">
      <c r="A77" s="4" t="s">
        <v>21</v>
      </c>
      <c r="B77" s="4" t="s">
        <v>22</v>
      </c>
      <c r="C77" s="5">
        <v>2.0</v>
      </c>
      <c r="D77" s="4" t="s">
        <v>442</v>
      </c>
      <c r="E77" s="4" t="s">
        <v>443</v>
      </c>
      <c r="F77" s="4" t="s">
        <v>444</v>
      </c>
      <c r="G77" s="4" t="s">
        <v>445</v>
      </c>
      <c r="H77" s="4" t="s">
        <v>446</v>
      </c>
      <c r="I77" s="4" t="s">
        <v>447</v>
      </c>
      <c r="J77" s="5">
        <v>33.0</v>
      </c>
      <c r="K77" s="5">
        <v>9.0</v>
      </c>
      <c r="L77" s="5">
        <v>13.0</v>
      </c>
      <c r="M77" s="5">
        <v>12.0</v>
      </c>
      <c r="N77" s="5">
        <v>10.0</v>
      </c>
      <c r="O77" s="4" t="s">
        <v>35</v>
      </c>
      <c r="P77" s="4" t="s">
        <v>28</v>
      </c>
      <c r="Q77" s="4" t="s">
        <v>28</v>
      </c>
      <c r="R77" s="4" t="s">
        <v>28</v>
      </c>
      <c r="S77" s="4"/>
      <c r="T77" s="5">
        <v>1.0</v>
      </c>
      <c r="U77" s="8" t="str">
        <f t="shared" si="1"/>
        <v>GRAPEVINE SITE1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ht="14.25" customHeight="1">
      <c r="A78" s="4" t="s">
        <v>52</v>
      </c>
      <c r="B78" s="4" t="s">
        <v>53</v>
      </c>
      <c r="C78" s="5">
        <v>3.0</v>
      </c>
      <c r="D78" s="4" t="s">
        <v>448</v>
      </c>
      <c r="E78" s="4" t="s">
        <v>449</v>
      </c>
      <c r="F78" s="4" t="s">
        <v>28</v>
      </c>
      <c r="G78" s="4" t="s">
        <v>26</v>
      </c>
      <c r="H78" s="4" t="s">
        <v>450</v>
      </c>
      <c r="I78" s="4" t="s">
        <v>451</v>
      </c>
      <c r="J78" s="5">
        <v>0.0</v>
      </c>
      <c r="K78" s="5">
        <v>0.0</v>
      </c>
      <c r="L78" s="5">
        <v>0.0</v>
      </c>
      <c r="M78" s="5">
        <v>0.0</v>
      </c>
      <c r="N78" s="5">
        <v>0.0</v>
      </c>
      <c r="O78" s="4" t="s">
        <v>452</v>
      </c>
      <c r="P78" s="4" t="s">
        <v>59</v>
      </c>
      <c r="Q78" s="4" t="s">
        <v>28</v>
      </c>
      <c r="R78" s="4" t="s">
        <v>28</v>
      </c>
      <c r="S78" s="4" t="s">
        <v>28</v>
      </c>
      <c r="T78" s="9"/>
      <c r="U78" s="8" t="str">
        <f t="shared" si="1"/>
        <v>DALLAS SITE5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ht="14.25" customHeight="1">
      <c r="A79" s="4" t="s">
        <v>52</v>
      </c>
      <c r="B79" s="4" t="s">
        <v>453</v>
      </c>
      <c r="C79" s="5">
        <v>0.0</v>
      </c>
      <c r="D79" s="4" t="s">
        <v>454</v>
      </c>
      <c r="E79" s="4" t="s">
        <v>455</v>
      </c>
      <c r="F79" s="4" t="s">
        <v>28</v>
      </c>
      <c r="G79" s="4" t="s">
        <v>238</v>
      </c>
      <c r="H79" s="4" t="s">
        <v>28</v>
      </c>
      <c r="I79" s="4" t="s">
        <v>456</v>
      </c>
      <c r="J79" s="9"/>
      <c r="K79" s="5">
        <v>38.0</v>
      </c>
      <c r="L79" s="9"/>
      <c r="M79" s="9"/>
      <c r="N79" s="9"/>
      <c r="O79" s="4" t="s">
        <v>457</v>
      </c>
      <c r="P79" s="4" t="s">
        <v>59</v>
      </c>
      <c r="Q79" s="4" t="s">
        <v>123</v>
      </c>
      <c r="R79" s="4" t="s">
        <v>123</v>
      </c>
      <c r="S79" s="4" t="s">
        <v>28</v>
      </c>
      <c r="T79" s="5">
        <v>0.0</v>
      </c>
      <c r="U79" s="8" t="str">
        <f t="shared" si="1"/>
        <v/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ht="14.25" customHeight="1">
      <c r="A80" s="4" t="s">
        <v>52</v>
      </c>
      <c r="B80" s="4" t="s">
        <v>258</v>
      </c>
      <c r="C80" s="5">
        <v>5.0</v>
      </c>
      <c r="D80" s="4" t="s">
        <v>458</v>
      </c>
      <c r="E80" s="4" t="s">
        <v>459</v>
      </c>
      <c r="F80" s="4" t="s">
        <v>28</v>
      </c>
      <c r="G80" s="4" t="s">
        <v>214</v>
      </c>
      <c r="H80" s="4" t="s">
        <v>460</v>
      </c>
      <c r="I80" s="4" t="s">
        <v>461</v>
      </c>
      <c r="J80" s="9"/>
      <c r="K80" s="9"/>
      <c r="L80" s="9"/>
      <c r="M80" s="9"/>
      <c r="N80" s="9"/>
      <c r="O80" s="4" t="s">
        <v>462</v>
      </c>
      <c r="P80" s="4" t="s">
        <v>193</v>
      </c>
      <c r="Q80" s="4" t="s">
        <v>28</v>
      </c>
      <c r="R80" s="4" t="s">
        <v>28</v>
      </c>
      <c r="S80" s="4" t="s">
        <v>28</v>
      </c>
      <c r="T80" s="9"/>
      <c r="U80" s="8" t="str">
        <f t="shared" si="1"/>
        <v/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ht="14.25" customHeight="1">
      <c r="A81" s="4" t="s">
        <v>52</v>
      </c>
      <c r="B81" s="4" t="s">
        <v>104</v>
      </c>
      <c r="C81" s="5">
        <v>4.0</v>
      </c>
      <c r="D81" s="4" t="s">
        <v>463</v>
      </c>
      <c r="E81" s="4" t="s">
        <v>464</v>
      </c>
      <c r="F81" s="4" t="s">
        <v>28</v>
      </c>
      <c r="G81" s="4" t="s">
        <v>108</v>
      </c>
      <c r="H81" s="4" t="s">
        <v>465</v>
      </c>
      <c r="I81" s="4" t="s">
        <v>466</v>
      </c>
      <c r="J81" s="9"/>
      <c r="K81" s="9"/>
      <c r="L81" s="9"/>
      <c r="M81" s="9"/>
      <c r="N81" s="9"/>
      <c r="O81" s="4" t="s">
        <v>467</v>
      </c>
      <c r="P81" s="4" t="s">
        <v>164</v>
      </c>
      <c r="Q81" s="4" t="s">
        <v>28</v>
      </c>
      <c r="R81" s="4" t="s">
        <v>28</v>
      </c>
      <c r="S81" s="4" t="s">
        <v>28</v>
      </c>
      <c r="T81" s="9"/>
      <c r="U81" s="8" t="str">
        <f t="shared" si="1"/>
        <v/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ht="14.25" customHeight="1">
      <c r="A82" s="4" t="s">
        <v>21</v>
      </c>
      <c r="B82" s="4" t="s">
        <v>42</v>
      </c>
      <c r="C82" s="5">
        <v>1.0</v>
      </c>
      <c r="D82" s="4" t="s">
        <v>468</v>
      </c>
      <c r="E82" s="4" t="s">
        <v>469</v>
      </c>
      <c r="F82" s="4" t="s">
        <v>470</v>
      </c>
      <c r="G82" s="4" t="s">
        <v>304</v>
      </c>
      <c r="H82" s="4" t="s">
        <v>471</v>
      </c>
      <c r="I82" s="4" t="s">
        <v>472</v>
      </c>
      <c r="J82" s="5">
        <v>46.0</v>
      </c>
      <c r="K82" s="5">
        <v>24.0</v>
      </c>
      <c r="L82" s="5">
        <v>2.0</v>
      </c>
      <c r="M82" s="5">
        <v>13.0</v>
      </c>
      <c r="N82" s="5">
        <v>24.0</v>
      </c>
      <c r="O82" s="4" t="s">
        <v>473</v>
      </c>
      <c r="P82" s="4" t="s">
        <v>50</v>
      </c>
      <c r="Q82" s="4" t="s">
        <v>28</v>
      </c>
      <c r="R82" s="4" t="s">
        <v>28</v>
      </c>
      <c r="S82" s="4"/>
      <c r="T82" s="5">
        <v>2.0</v>
      </c>
      <c r="U82" s="8" t="str">
        <f t="shared" si="1"/>
        <v>ARLINGTON SITE2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ht="14.25" customHeight="1">
      <c r="A83" s="4" t="s">
        <v>21</v>
      </c>
      <c r="B83" s="4" t="s">
        <v>288</v>
      </c>
      <c r="C83" s="5">
        <v>3.0</v>
      </c>
      <c r="D83" s="4" t="s">
        <v>135</v>
      </c>
      <c r="E83" s="4" t="s">
        <v>474</v>
      </c>
      <c r="F83" s="4" t="s">
        <v>28</v>
      </c>
      <c r="G83" s="4" t="s">
        <v>475</v>
      </c>
      <c r="H83" s="4" t="s">
        <v>476</v>
      </c>
      <c r="I83" s="4" t="s">
        <v>477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  <c r="O83" s="4" t="s">
        <v>478</v>
      </c>
      <c r="P83" s="4" t="s">
        <v>59</v>
      </c>
      <c r="Q83" s="4" t="s">
        <v>28</v>
      </c>
      <c r="R83" s="4" t="s">
        <v>28</v>
      </c>
      <c r="S83" s="4" t="s">
        <v>28</v>
      </c>
      <c r="T83" s="5">
        <v>1.0</v>
      </c>
      <c r="U83" s="8" t="str">
        <f t="shared" si="1"/>
        <v>DALLAS SITE5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ht="14.25" customHeight="1">
      <c r="A84" s="4" t="s">
        <v>21</v>
      </c>
      <c r="B84" s="4" t="s">
        <v>42</v>
      </c>
      <c r="C84" s="5">
        <v>1.0</v>
      </c>
      <c r="D84" s="4" t="s">
        <v>479</v>
      </c>
      <c r="E84" s="4" t="s">
        <v>480</v>
      </c>
      <c r="F84" s="4" t="s">
        <v>481</v>
      </c>
      <c r="G84" s="4" t="s">
        <v>482</v>
      </c>
      <c r="H84" s="4" t="s">
        <v>483</v>
      </c>
      <c r="I84" s="4" t="s">
        <v>484</v>
      </c>
      <c r="J84" s="5">
        <v>22.0</v>
      </c>
      <c r="K84" s="5">
        <v>17.0</v>
      </c>
      <c r="L84" s="5">
        <v>42.0</v>
      </c>
      <c r="M84" s="5">
        <v>42.0</v>
      </c>
      <c r="N84" s="5">
        <v>30.0</v>
      </c>
      <c r="O84" s="4" t="s">
        <v>485</v>
      </c>
      <c r="P84" s="4" t="s">
        <v>50</v>
      </c>
      <c r="Q84" s="4" t="s">
        <v>28</v>
      </c>
      <c r="R84" s="4" t="s">
        <v>28</v>
      </c>
      <c r="S84" s="4"/>
      <c r="T84" s="5">
        <v>4.0</v>
      </c>
      <c r="U84" s="8" t="str">
        <f t="shared" si="1"/>
        <v>GRAPEVINE SITE1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ht="14.25" customHeight="1">
      <c r="A85" s="4" t="s">
        <v>52</v>
      </c>
      <c r="B85" s="4" t="s">
        <v>53</v>
      </c>
      <c r="C85" s="5">
        <v>3.0</v>
      </c>
      <c r="D85" s="4" t="s">
        <v>364</v>
      </c>
      <c r="E85" s="4" t="s">
        <v>486</v>
      </c>
      <c r="F85" s="4" t="s">
        <v>28</v>
      </c>
      <c r="G85" s="4" t="s">
        <v>329</v>
      </c>
      <c r="H85" s="4" t="s">
        <v>487</v>
      </c>
      <c r="I85" s="4" t="s">
        <v>488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  <c r="O85" s="4" t="s">
        <v>489</v>
      </c>
      <c r="P85" s="4" t="s">
        <v>59</v>
      </c>
      <c r="Q85" s="4" t="s">
        <v>28</v>
      </c>
      <c r="R85" s="4" t="s">
        <v>28</v>
      </c>
      <c r="S85" s="4" t="s">
        <v>28</v>
      </c>
      <c r="T85" s="9"/>
      <c r="U85" s="8" t="str">
        <f t="shared" si="1"/>
        <v>DALLAS SITE5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ht="14.25" customHeight="1">
      <c r="A86" s="4" t="s">
        <v>21</v>
      </c>
      <c r="B86" s="4" t="s">
        <v>22</v>
      </c>
      <c r="C86" s="5">
        <v>2.0</v>
      </c>
      <c r="D86" s="4" t="s">
        <v>289</v>
      </c>
      <c r="E86" s="4" t="s">
        <v>490</v>
      </c>
      <c r="F86" s="4" t="s">
        <v>491</v>
      </c>
      <c r="G86" s="4" t="s">
        <v>69</v>
      </c>
      <c r="H86" s="4"/>
      <c r="I86" s="4" t="s">
        <v>492</v>
      </c>
      <c r="J86" s="5">
        <v>25.0</v>
      </c>
      <c r="K86" s="5">
        <v>24.0</v>
      </c>
      <c r="L86" s="5">
        <v>23.0</v>
      </c>
      <c r="M86" s="5">
        <v>29.0</v>
      </c>
      <c r="N86" s="5">
        <v>34.0</v>
      </c>
      <c r="O86" s="4"/>
      <c r="P86" s="4" t="s">
        <v>28</v>
      </c>
      <c r="Q86" s="4" t="s">
        <v>28</v>
      </c>
      <c r="R86" s="4" t="s">
        <v>28</v>
      </c>
      <c r="S86" s="4"/>
      <c r="T86" s="5">
        <v>1.0</v>
      </c>
      <c r="U86" s="8" t="str">
        <f t="shared" si="1"/>
        <v>ARLINGTON SITE2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ht="14.25" customHeight="1">
      <c r="A87" s="4" t="s">
        <v>21</v>
      </c>
      <c r="B87" s="4" t="s">
        <v>22</v>
      </c>
      <c r="C87" s="5">
        <v>2.0</v>
      </c>
      <c r="D87" s="4" t="s">
        <v>37</v>
      </c>
      <c r="E87" s="4" t="s">
        <v>493</v>
      </c>
      <c r="F87" s="4" t="s">
        <v>494</v>
      </c>
      <c r="G87" s="4" t="s">
        <v>83</v>
      </c>
      <c r="H87" s="4" t="s">
        <v>495</v>
      </c>
      <c r="I87" s="4" t="s">
        <v>496</v>
      </c>
      <c r="J87" s="5">
        <v>35.0</v>
      </c>
      <c r="K87" s="5">
        <v>12.0</v>
      </c>
      <c r="L87" s="5">
        <v>12.0</v>
      </c>
      <c r="M87" s="5">
        <v>11.0</v>
      </c>
      <c r="N87" s="5">
        <v>8.0</v>
      </c>
      <c r="O87" s="4" t="s">
        <v>35</v>
      </c>
      <c r="P87" s="4" t="s">
        <v>28</v>
      </c>
      <c r="Q87" s="4" t="s">
        <v>28</v>
      </c>
      <c r="R87" s="4" t="s">
        <v>28</v>
      </c>
      <c r="S87" s="4"/>
      <c r="T87" s="5">
        <v>3.0</v>
      </c>
      <c r="U87" s="8" t="str">
        <f t="shared" si="1"/>
        <v>MATTS SITE4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ht="14.25" customHeight="1">
      <c r="A88" s="4" t="s">
        <v>21</v>
      </c>
      <c r="B88" s="4" t="s">
        <v>42</v>
      </c>
      <c r="C88" s="5">
        <v>1.0</v>
      </c>
      <c r="D88" s="4" t="s">
        <v>29</v>
      </c>
      <c r="E88" s="4" t="s">
        <v>497</v>
      </c>
      <c r="F88" s="4" t="s">
        <v>498</v>
      </c>
      <c r="G88" s="4" t="s">
        <v>214</v>
      </c>
      <c r="H88" s="4" t="s">
        <v>499</v>
      </c>
      <c r="I88" s="4" t="s">
        <v>500</v>
      </c>
      <c r="J88" s="5">
        <v>41.0</v>
      </c>
      <c r="K88" s="5">
        <v>27.0</v>
      </c>
      <c r="L88" s="5">
        <v>43.0</v>
      </c>
      <c r="M88" s="5">
        <v>31.0</v>
      </c>
      <c r="N88" s="5">
        <v>23.0</v>
      </c>
      <c r="O88" s="4" t="s">
        <v>501</v>
      </c>
      <c r="P88" s="4" t="s">
        <v>50</v>
      </c>
      <c r="Q88" s="4" t="s">
        <v>28</v>
      </c>
      <c r="R88" s="4" t="s">
        <v>28</v>
      </c>
      <c r="S88" s="4" t="s">
        <v>36</v>
      </c>
      <c r="T88" s="5">
        <v>5.0</v>
      </c>
      <c r="U88" s="8" t="str">
        <f t="shared" si="1"/>
        <v>MATTS SITE4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ht="14.25" customHeight="1">
      <c r="A89" s="4" t="s">
        <v>21</v>
      </c>
      <c r="B89" s="4" t="s">
        <v>42</v>
      </c>
      <c r="C89" s="5">
        <v>1.0</v>
      </c>
      <c r="D89" s="4" t="s">
        <v>502</v>
      </c>
      <c r="E89" s="4" t="s">
        <v>503</v>
      </c>
      <c r="F89" s="4" t="s">
        <v>504</v>
      </c>
      <c r="G89" s="4" t="s">
        <v>505</v>
      </c>
      <c r="H89" s="4" t="s">
        <v>506</v>
      </c>
      <c r="I89" s="4" t="s">
        <v>507</v>
      </c>
      <c r="J89" s="5">
        <v>37.0</v>
      </c>
      <c r="K89" s="5">
        <v>43.0</v>
      </c>
      <c r="L89" s="5">
        <v>62.0</v>
      </c>
      <c r="M89" s="5">
        <v>51.0</v>
      </c>
      <c r="N89" s="5">
        <v>42.0</v>
      </c>
      <c r="O89" s="4" t="s">
        <v>508</v>
      </c>
      <c r="P89" s="4" t="s">
        <v>50</v>
      </c>
      <c r="Q89" s="4" t="s">
        <v>28</v>
      </c>
      <c r="R89" s="4" t="s">
        <v>28</v>
      </c>
      <c r="S89" s="4"/>
      <c r="T89" s="5">
        <v>7.0</v>
      </c>
      <c r="U89" s="8" t="str">
        <f t="shared" si="1"/>
        <v>DALLAS SITE5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ht="14.25" customHeight="1">
      <c r="A90" s="4" t="s">
        <v>21</v>
      </c>
      <c r="B90" s="4" t="s">
        <v>185</v>
      </c>
      <c r="C90" s="5">
        <v>1.0</v>
      </c>
      <c r="D90" s="4" t="s">
        <v>509</v>
      </c>
      <c r="E90" s="4" t="s">
        <v>510</v>
      </c>
      <c r="F90" s="4" t="s">
        <v>511</v>
      </c>
      <c r="G90" s="4" t="s">
        <v>201</v>
      </c>
      <c r="H90" s="4" t="s">
        <v>512</v>
      </c>
      <c r="I90" s="4" t="s">
        <v>513</v>
      </c>
      <c r="J90" s="5">
        <v>29.0</v>
      </c>
      <c r="K90" s="5">
        <v>6.0</v>
      </c>
      <c r="L90" s="5">
        <v>19.0</v>
      </c>
      <c r="M90" s="5">
        <v>17.0</v>
      </c>
      <c r="N90" s="5">
        <v>15.0</v>
      </c>
      <c r="O90" s="4" t="s">
        <v>514</v>
      </c>
      <c r="P90" s="4" t="s">
        <v>515</v>
      </c>
      <c r="Q90" s="4" t="s">
        <v>51</v>
      </c>
      <c r="R90" s="4" t="s">
        <v>28</v>
      </c>
      <c r="S90" s="4"/>
      <c r="T90" s="5">
        <v>5.0</v>
      </c>
      <c r="U90" s="8" t="str">
        <f t="shared" si="1"/>
        <v>GRAPEVINE SITE1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ht="14.25" customHeight="1">
      <c r="A91" s="4" t="s">
        <v>21</v>
      </c>
      <c r="B91" s="4" t="s">
        <v>42</v>
      </c>
      <c r="C91" s="5">
        <v>1.0</v>
      </c>
      <c r="D91" s="4" t="s">
        <v>516</v>
      </c>
      <c r="E91" s="4" t="s">
        <v>517</v>
      </c>
      <c r="F91" s="4" t="s">
        <v>518</v>
      </c>
      <c r="G91" s="4" t="s">
        <v>304</v>
      </c>
      <c r="H91" s="4" t="s">
        <v>519</v>
      </c>
      <c r="I91" s="4" t="s">
        <v>520</v>
      </c>
      <c r="J91" s="5">
        <v>37.0</v>
      </c>
      <c r="K91" s="5">
        <v>19.0</v>
      </c>
      <c r="L91" s="5">
        <v>5.0</v>
      </c>
      <c r="M91" s="5">
        <v>15.0</v>
      </c>
      <c r="N91" s="5">
        <v>20.0</v>
      </c>
      <c r="O91" s="4" t="s">
        <v>521</v>
      </c>
      <c r="P91" s="4" t="s">
        <v>50</v>
      </c>
      <c r="Q91" s="4" t="s">
        <v>28</v>
      </c>
      <c r="R91" s="4" t="s">
        <v>28</v>
      </c>
      <c r="S91" s="4" t="s">
        <v>36</v>
      </c>
      <c r="T91" s="5">
        <v>2.0</v>
      </c>
      <c r="U91" s="8" t="str">
        <f t="shared" si="1"/>
        <v>ARLINGTON SITE2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ht="14.25" customHeight="1">
      <c r="A92" s="4" t="s">
        <v>21</v>
      </c>
      <c r="B92" s="4" t="s">
        <v>42</v>
      </c>
      <c r="C92" s="5">
        <v>1.0</v>
      </c>
      <c r="D92" s="4" t="s">
        <v>43</v>
      </c>
      <c r="E92" s="4" t="s">
        <v>522</v>
      </c>
      <c r="F92" s="4" t="s">
        <v>523</v>
      </c>
      <c r="G92" s="4" t="s">
        <v>76</v>
      </c>
      <c r="H92" s="4" t="s">
        <v>524</v>
      </c>
      <c r="I92" s="4" t="s">
        <v>525</v>
      </c>
      <c r="J92" s="5">
        <v>36.0</v>
      </c>
      <c r="K92" s="5">
        <v>10.0</v>
      </c>
      <c r="L92" s="5">
        <v>19.0</v>
      </c>
      <c r="M92" s="5">
        <v>15.0</v>
      </c>
      <c r="N92" s="5">
        <v>4.0</v>
      </c>
      <c r="O92" s="4" t="s">
        <v>526</v>
      </c>
      <c r="P92" s="4" t="s">
        <v>50</v>
      </c>
      <c r="Q92" s="4" t="s">
        <v>28</v>
      </c>
      <c r="R92" s="4" t="s">
        <v>28</v>
      </c>
      <c r="S92" s="4"/>
      <c r="T92" s="5">
        <v>3.0</v>
      </c>
      <c r="U92" s="8" t="str">
        <f t="shared" si="1"/>
        <v>MATTS SITE4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ht="14.25" customHeight="1">
      <c r="A93" s="4" t="s">
        <v>21</v>
      </c>
      <c r="B93" s="4" t="s">
        <v>22</v>
      </c>
      <c r="C93" s="5">
        <v>2.0</v>
      </c>
      <c r="D93" s="4" t="s">
        <v>527</v>
      </c>
      <c r="E93" s="4" t="s">
        <v>528</v>
      </c>
      <c r="F93" s="4" t="s">
        <v>529</v>
      </c>
      <c r="G93" s="4" t="s">
        <v>530</v>
      </c>
      <c r="H93" s="4"/>
      <c r="I93" s="4" t="s">
        <v>531</v>
      </c>
      <c r="J93" s="5">
        <v>14.0</v>
      </c>
      <c r="K93" s="5">
        <v>29.0</v>
      </c>
      <c r="L93" s="5">
        <v>48.0</v>
      </c>
      <c r="M93" s="5">
        <v>39.0</v>
      </c>
      <c r="N93" s="5">
        <v>44.0</v>
      </c>
      <c r="O93" s="4"/>
      <c r="P93" s="4" t="s">
        <v>28</v>
      </c>
      <c r="Q93" s="4" t="s">
        <v>28</v>
      </c>
      <c r="R93" s="4" t="s">
        <v>28</v>
      </c>
      <c r="S93" s="4"/>
      <c r="T93" s="5">
        <v>3.0</v>
      </c>
      <c r="U93" s="8" t="str">
        <f t="shared" si="1"/>
        <v>DALLAS SITE5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ht="14.25" customHeight="1">
      <c r="A94" s="4" t="s">
        <v>21</v>
      </c>
      <c r="B94" s="4" t="s">
        <v>22</v>
      </c>
      <c r="C94" s="5">
        <v>2.0</v>
      </c>
      <c r="D94" s="4" t="s">
        <v>532</v>
      </c>
      <c r="E94" s="4" t="s">
        <v>533</v>
      </c>
      <c r="F94" s="4" t="s">
        <v>534</v>
      </c>
      <c r="G94" s="4" t="s">
        <v>69</v>
      </c>
      <c r="H94" s="4" t="s">
        <v>535</v>
      </c>
      <c r="I94" s="4" t="s">
        <v>536</v>
      </c>
      <c r="J94" s="5">
        <v>7.0</v>
      </c>
      <c r="K94" s="5">
        <v>20.0</v>
      </c>
      <c r="L94" s="5">
        <v>33.0</v>
      </c>
      <c r="M94" s="5">
        <v>29.0</v>
      </c>
      <c r="N94" s="5">
        <v>34.0</v>
      </c>
      <c r="O94" s="4" t="s">
        <v>35</v>
      </c>
      <c r="P94" s="4" t="s">
        <v>28</v>
      </c>
      <c r="Q94" s="4" t="s">
        <v>28</v>
      </c>
      <c r="R94" s="4" t="s">
        <v>28</v>
      </c>
      <c r="S94" s="4"/>
      <c r="T94" s="5">
        <v>1.0</v>
      </c>
      <c r="U94" s="8" t="str">
        <f t="shared" si="1"/>
        <v>DALLAS SITE5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ht="14.25" customHeight="1">
      <c r="A95" s="4" t="s">
        <v>21</v>
      </c>
      <c r="B95" s="4" t="s">
        <v>42</v>
      </c>
      <c r="C95" s="5">
        <v>1.0</v>
      </c>
      <c r="D95" s="4" t="s">
        <v>43</v>
      </c>
      <c r="E95" s="4" t="s">
        <v>537</v>
      </c>
      <c r="F95" s="4" t="s">
        <v>538</v>
      </c>
      <c r="G95" s="4" t="s">
        <v>539</v>
      </c>
      <c r="H95" s="4" t="s">
        <v>540</v>
      </c>
      <c r="I95" s="4" t="s">
        <v>541</v>
      </c>
      <c r="J95" s="5">
        <v>65.0</v>
      </c>
      <c r="K95" s="5">
        <v>42.0</v>
      </c>
      <c r="L95" s="5">
        <v>30.0</v>
      </c>
      <c r="M95" s="5">
        <v>21.0</v>
      </c>
      <c r="N95" s="5">
        <v>31.0</v>
      </c>
      <c r="O95" s="4" t="s">
        <v>542</v>
      </c>
      <c r="P95" s="4" t="s">
        <v>50</v>
      </c>
      <c r="Q95" s="4" t="s">
        <v>28</v>
      </c>
      <c r="R95" s="4" t="s">
        <v>28</v>
      </c>
      <c r="S95" s="4"/>
      <c r="T95" s="5">
        <v>6.0</v>
      </c>
      <c r="U95" s="8" t="str">
        <f t="shared" si="1"/>
        <v>ARLINGTON SITE2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ht="14.25" customHeight="1">
      <c r="A96" s="4" t="s">
        <v>21</v>
      </c>
      <c r="B96" s="4" t="s">
        <v>22</v>
      </c>
      <c r="C96" s="5">
        <v>2.0</v>
      </c>
      <c r="D96" s="4" t="s">
        <v>43</v>
      </c>
      <c r="E96" s="4" t="s">
        <v>543</v>
      </c>
      <c r="F96" s="4" t="s">
        <v>544</v>
      </c>
      <c r="G96" s="4" t="s">
        <v>545</v>
      </c>
      <c r="H96" s="4" t="s">
        <v>546</v>
      </c>
      <c r="I96" s="4" t="s">
        <v>547</v>
      </c>
      <c r="J96" s="5">
        <v>13.0</v>
      </c>
      <c r="K96" s="5">
        <v>37.0</v>
      </c>
      <c r="L96" s="5">
        <v>52.0</v>
      </c>
      <c r="M96" s="5">
        <v>49.0</v>
      </c>
      <c r="N96" s="5">
        <v>54.0</v>
      </c>
      <c r="O96" s="4" t="s">
        <v>35</v>
      </c>
      <c r="P96" s="4" t="s">
        <v>28</v>
      </c>
      <c r="Q96" s="4" t="s">
        <v>28</v>
      </c>
      <c r="R96" s="4" t="s">
        <v>28</v>
      </c>
      <c r="S96" s="4"/>
      <c r="T96" s="5">
        <v>3.0</v>
      </c>
      <c r="U96" s="8" t="str">
        <f t="shared" si="1"/>
        <v>DALLAS SITE5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ht="14.25" customHeight="1">
      <c r="A97" s="4" t="s">
        <v>21</v>
      </c>
      <c r="B97" s="4" t="s">
        <v>42</v>
      </c>
      <c r="C97" s="5">
        <v>1.0</v>
      </c>
      <c r="D97" s="4" t="s">
        <v>548</v>
      </c>
      <c r="E97" s="4" t="s">
        <v>549</v>
      </c>
      <c r="F97" s="4" t="s">
        <v>550</v>
      </c>
      <c r="G97" s="4" t="s">
        <v>69</v>
      </c>
      <c r="H97" s="4" t="s">
        <v>551</v>
      </c>
      <c r="I97" s="4" t="s">
        <v>552</v>
      </c>
      <c r="J97" s="5">
        <v>23.0</v>
      </c>
      <c r="K97" s="5">
        <v>34.0</v>
      </c>
      <c r="L97" s="5">
        <v>33.0</v>
      </c>
      <c r="M97" s="5">
        <v>38.0</v>
      </c>
      <c r="N97" s="5">
        <v>41.0</v>
      </c>
      <c r="O97" s="4" t="s">
        <v>553</v>
      </c>
      <c r="P97" s="4" t="s">
        <v>50</v>
      </c>
      <c r="Q97" s="4" t="s">
        <v>28</v>
      </c>
      <c r="R97" s="4" t="s">
        <v>28</v>
      </c>
      <c r="S97" s="4"/>
      <c r="T97" s="5">
        <v>4.0</v>
      </c>
      <c r="U97" s="8" t="str">
        <f t="shared" si="1"/>
        <v>DALLAS SITE5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ht="14.25" customHeight="1">
      <c r="A98" s="4" t="s">
        <v>21</v>
      </c>
      <c r="B98" s="4" t="s">
        <v>22</v>
      </c>
      <c r="C98" s="5">
        <v>2.0</v>
      </c>
      <c r="D98" s="4" t="s">
        <v>554</v>
      </c>
      <c r="E98" s="4" t="s">
        <v>555</v>
      </c>
      <c r="F98" s="4" t="s">
        <v>556</v>
      </c>
      <c r="G98" s="4" t="s">
        <v>26</v>
      </c>
      <c r="H98" s="4"/>
      <c r="I98" s="4" t="s">
        <v>557</v>
      </c>
      <c r="J98" s="5">
        <v>6.0</v>
      </c>
      <c r="K98" s="5">
        <v>25.0</v>
      </c>
      <c r="L98" s="5">
        <v>39.0</v>
      </c>
      <c r="M98" s="5">
        <v>36.0</v>
      </c>
      <c r="N98" s="5">
        <v>40.0</v>
      </c>
      <c r="O98" s="4"/>
      <c r="P98" s="4" t="s">
        <v>28</v>
      </c>
      <c r="Q98" s="4" t="s">
        <v>28</v>
      </c>
      <c r="R98" s="4" t="s">
        <v>28</v>
      </c>
      <c r="S98" s="4"/>
      <c r="T98" s="5">
        <v>1.0</v>
      </c>
      <c r="U98" s="8" t="str">
        <f t="shared" si="1"/>
        <v>DALLAS SITE5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ht="14.25" customHeight="1">
      <c r="A99" s="4" t="s">
        <v>52</v>
      </c>
      <c r="B99" s="4" t="s">
        <v>274</v>
      </c>
      <c r="C99" s="5">
        <v>1.0</v>
      </c>
      <c r="D99" s="4" t="s">
        <v>509</v>
      </c>
      <c r="E99" s="4" t="s">
        <v>558</v>
      </c>
      <c r="F99" s="4" t="s">
        <v>28</v>
      </c>
      <c r="G99" s="4" t="s">
        <v>214</v>
      </c>
      <c r="H99" s="4" t="s">
        <v>28</v>
      </c>
      <c r="I99" s="4" t="s">
        <v>559</v>
      </c>
      <c r="J99" s="9"/>
      <c r="K99" s="5">
        <v>21.0</v>
      </c>
      <c r="L99" s="9"/>
      <c r="M99" s="9"/>
      <c r="N99" s="9"/>
      <c r="O99" s="4" t="s">
        <v>560</v>
      </c>
      <c r="P99" s="4" t="s">
        <v>50</v>
      </c>
      <c r="Q99" s="4" t="s">
        <v>123</v>
      </c>
      <c r="R99" s="4" t="s">
        <v>123</v>
      </c>
      <c r="S99" s="4" t="s">
        <v>28</v>
      </c>
      <c r="T99" s="5">
        <v>0.0</v>
      </c>
      <c r="U99" s="8" t="str">
        <f t="shared" si="1"/>
        <v/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ht="14.25" customHeight="1">
      <c r="A100" s="4" t="s">
        <v>21</v>
      </c>
      <c r="B100" s="4" t="s">
        <v>42</v>
      </c>
      <c r="C100" s="5">
        <v>1.0</v>
      </c>
      <c r="D100" s="4" t="s">
        <v>561</v>
      </c>
      <c r="E100" s="4" t="s">
        <v>562</v>
      </c>
      <c r="F100" s="4" t="s">
        <v>563</v>
      </c>
      <c r="G100" s="4" t="s">
        <v>564</v>
      </c>
      <c r="H100" s="4" t="s">
        <v>565</v>
      </c>
      <c r="I100" s="4" t="s">
        <v>566</v>
      </c>
      <c r="J100" s="5">
        <v>124.0</v>
      </c>
      <c r="K100" s="5">
        <v>101.0</v>
      </c>
      <c r="L100" s="5">
        <v>91.0</v>
      </c>
      <c r="M100" s="5">
        <v>80.0</v>
      </c>
      <c r="N100" s="5">
        <v>90.0</v>
      </c>
      <c r="O100" s="4" t="s">
        <v>567</v>
      </c>
      <c r="P100" s="4" t="s">
        <v>50</v>
      </c>
      <c r="Q100" s="4" t="s">
        <v>28</v>
      </c>
      <c r="R100" s="4" t="s">
        <v>28</v>
      </c>
      <c r="S100" s="4"/>
      <c r="T100" s="5">
        <v>3.0</v>
      </c>
      <c r="U100" s="8" t="str">
        <f t="shared" si="1"/>
        <v>MATTS SITE4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ht="14.25" customHeight="1">
      <c r="A101" s="4" t="s">
        <v>21</v>
      </c>
      <c r="B101" s="4" t="s">
        <v>42</v>
      </c>
      <c r="C101" s="5">
        <v>1.0</v>
      </c>
      <c r="D101" s="4" t="s">
        <v>218</v>
      </c>
      <c r="E101" s="4" t="s">
        <v>568</v>
      </c>
      <c r="F101" s="4" t="s">
        <v>569</v>
      </c>
      <c r="G101" s="4" t="s">
        <v>76</v>
      </c>
      <c r="H101" s="4" t="s">
        <v>570</v>
      </c>
      <c r="I101" s="4" t="s">
        <v>571</v>
      </c>
      <c r="J101" s="5">
        <v>35.0</v>
      </c>
      <c r="K101" s="5">
        <v>11.0</v>
      </c>
      <c r="L101" s="5">
        <v>21.0</v>
      </c>
      <c r="M101" s="5">
        <v>17.0</v>
      </c>
      <c r="N101" s="5">
        <v>4.0</v>
      </c>
      <c r="O101" s="4" t="s">
        <v>572</v>
      </c>
      <c r="P101" s="4" t="s">
        <v>50</v>
      </c>
      <c r="Q101" s="4" t="s">
        <v>51</v>
      </c>
      <c r="R101" s="4" t="s">
        <v>28</v>
      </c>
      <c r="S101" s="4"/>
      <c r="T101" s="5">
        <v>4.0</v>
      </c>
      <c r="U101" s="8" t="str">
        <f t="shared" si="1"/>
        <v>MATTS SITE4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ht="14.25" customHeight="1">
      <c r="A102" s="4" t="s">
        <v>21</v>
      </c>
      <c r="B102" s="4" t="s">
        <v>22</v>
      </c>
      <c r="C102" s="5">
        <v>2.0</v>
      </c>
      <c r="D102" s="4" t="s">
        <v>573</v>
      </c>
      <c r="E102" s="4" t="s">
        <v>574</v>
      </c>
      <c r="F102" s="4" t="s">
        <v>575</v>
      </c>
      <c r="G102" s="4" t="s">
        <v>40</v>
      </c>
      <c r="H102" s="4"/>
      <c r="I102" s="4" t="s">
        <v>576</v>
      </c>
      <c r="J102" s="5">
        <v>9.0</v>
      </c>
      <c r="K102" s="5">
        <v>18.0</v>
      </c>
      <c r="L102" s="5">
        <v>33.0</v>
      </c>
      <c r="M102" s="5">
        <v>30.0</v>
      </c>
      <c r="N102" s="5">
        <v>34.0</v>
      </c>
      <c r="O102" s="4"/>
      <c r="P102" s="4" t="s">
        <v>28</v>
      </c>
      <c r="Q102" s="4" t="s">
        <v>28</v>
      </c>
      <c r="R102" s="4" t="s">
        <v>28</v>
      </c>
      <c r="S102" s="4"/>
      <c r="T102" s="5">
        <v>8.0</v>
      </c>
      <c r="U102" s="8" t="str">
        <f t="shared" si="1"/>
        <v>DALLAS SITE5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ht="14.25" customHeight="1">
      <c r="A103" s="4" t="s">
        <v>21</v>
      </c>
      <c r="B103" s="4" t="s">
        <v>22</v>
      </c>
      <c r="C103" s="5">
        <v>2.0</v>
      </c>
      <c r="D103" s="4" t="s">
        <v>577</v>
      </c>
      <c r="E103" s="4" t="s">
        <v>578</v>
      </c>
      <c r="F103" s="4" t="s">
        <v>579</v>
      </c>
      <c r="G103" s="4" t="s">
        <v>580</v>
      </c>
      <c r="H103" s="4"/>
      <c r="I103" s="4" t="s">
        <v>581</v>
      </c>
      <c r="J103" s="5">
        <v>41.0</v>
      </c>
      <c r="K103" s="5">
        <v>21.0</v>
      </c>
      <c r="L103" s="5">
        <v>35.0</v>
      </c>
      <c r="M103" s="5">
        <v>22.0</v>
      </c>
      <c r="N103" s="5">
        <v>16.0</v>
      </c>
      <c r="O103" s="4"/>
      <c r="P103" s="4" t="s">
        <v>28</v>
      </c>
      <c r="Q103" s="4" t="s">
        <v>28</v>
      </c>
      <c r="R103" s="4" t="s">
        <v>28</v>
      </c>
      <c r="S103" s="4"/>
      <c r="T103" s="5">
        <v>1.0</v>
      </c>
      <c r="U103" s="8" t="str">
        <f t="shared" si="1"/>
        <v>MATTS SITE4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ht="14.25" customHeight="1">
      <c r="A104" s="4" t="s">
        <v>52</v>
      </c>
      <c r="B104" s="4" t="s">
        <v>104</v>
      </c>
      <c r="C104" s="5">
        <v>4.0</v>
      </c>
      <c r="D104" s="4" t="s">
        <v>582</v>
      </c>
      <c r="E104" s="4" t="s">
        <v>583</v>
      </c>
      <c r="F104" s="4" t="s">
        <v>28</v>
      </c>
      <c r="G104" s="4" t="s">
        <v>69</v>
      </c>
      <c r="H104" s="4" t="s">
        <v>584</v>
      </c>
      <c r="I104" s="4" t="s">
        <v>585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  <c r="O104" s="4" t="s">
        <v>586</v>
      </c>
      <c r="P104" s="4" t="s">
        <v>50</v>
      </c>
      <c r="Q104" s="4" t="s">
        <v>28</v>
      </c>
      <c r="R104" s="4" t="s">
        <v>28</v>
      </c>
      <c r="S104" s="4" t="s">
        <v>28</v>
      </c>
      <c r="T104" s="9"/>
      <c r="U104" s="8" t="str">
        <f t="shared" si="1"/>
        <v>DALLAS SITE5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ht="14.25" customHeight="1">
      <c r="A105" s="4" t="s">
        <v>52</v>
      </c>
      <c r="B105" s="4" t="s">
        <v>258</v>
      </c>
      <c r="C105" s="5">
        <v>5.0</v>
      </c>
      <c r="D105" s="4" t="s">
        <v>364</v>
      </c>
      <c r="E105" s="4" t="s">
        <v>587</v>
      </c>
      <c r="F105" s="4" t="s">
        <v>28</v>
      </c>
      <c r="G105" s="4" t="s">
        <v>304</v>
      </c>
      <c r="H105" s="4" t="s">
        <v>588</v>
      </c>
      <c r="I105" s="4" t="s">
        <v>589</v>
      </c>
      <c r="J105" s="9"/>
      <c r="K105" s="9"/>
      <c r="L105" s="9"/>
      <c r="M105" s="9"/>
      <c r="N105" s="9"/>
      <c r="O105" s="4" t="s">
        <v>590</v>
      </c>
      <c r="P105" s="4" t="s">
        <v>193</v>
      </c>
      <c r="Q105" s="4" t="s">
        <v>28</v>
      </c>
      <c r="R105" s="4" t="s">
        <v>28</v>
      </c>
      <c r="S105" s="4" t="s">
        <v>28</v>
      </c>
      <c r="T105" s="9"/>
      <c r="U105" s="8" t="str">
        <f t="shared" si="1"/>
        <v/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ht="14.25" customHeight="1">
      <c r="A106" s="4" t="s">
        <v>21</v>
      </c>
      <c r="B106" s="4" t="s">
        <v>42</v>
      </c>
      <c r="C106" s="5">
        <v>1.0</v>
      </c>
      <c r="D106" s="4" t="s">
        <v>29</v>
      </c>
      <c r="E106" s="4" t="s">
        <v>591</v>
      </c>
      <c r="F106" s="4" t="s">
        <v>592</v>
      </c>
      <c r="G106" s="4" t="s">
        <v>304</v>
      </c>
      <c r="H106" s="4" t="s">
        <v>593</v>
      </c>
      <c r="I106" s="4" t="s">
        <v>594</v>
      </c>
      <c r="J106" s="5">
        <v>35.0</v>
      </c>
      <c r="K106" s="5">
        <v>23.0</v>
      </c>
      <c r="L106" s="5">
        <v>7.0</v>
      </c>
      <c r="M106" s="5">
        <v>12.0</v>
      </c>
      <c r="N106" s="5">
        <v>18.0</v>
      </c>
      <c r="O106" s="4" t="s">
        <v>595</v>
      </c>
      <c r="P106" s="4" t="s">
        <v>87</v>
      </c>
      <c r="Q106" s="4" t="s">
        <v>28</v>
      </c>
      <c r="R106" s="4" t="s">
        <v>28</v>
      </c>
      <c r="S106" s="4" t="s">
        <v>211</v>
      </c>
      <c r="T106" s="5">
        <v>6.0</v>
      </c>
      <c r="U106" s="8" t="str">
        <f t="shared" si="1"/>
        <v>ARLINGTON SITE2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ht="14.25" customHeight="1">
      <c r="A107" s="4" t="s">
        <v>21</v>
      </c>
      <c r="B107" s="4" t="s">
        <v>185</v>
      </c>
      <c r="C107" s="5">
        <v>1.0</v>
      </c>
      <c r="D107" s="4" t="s">
        <v>404</v>
      </c>
      <c r="E107" s="4" t="s">
        <v>596</v>
      </c>
      <c r="F107" s="4" t="s">
        <v>597</v>
      </c>
      <c r="G107" s="4" t="s">
        <v>76</v>
      </c>
      <c r="H107" s="4" t="s">
        <v>598</v>
      </c>
      <c r="I107" s="4" t="s">
        <v>599</v>
      </c>
      <c r="J107" s="5">
        <v>34.0</v>
      </c>
      <c r="K107" s="5">
        <v>10.0</v>
      </c>
      <c r="L107" s="5">
        <v>23.0</v>
      </c>
      <c r="M107" s="5">
        <v>24.0</v>
      </c>
      <c r="N107" s="5">
        <v>9.0</v>
      </c>
      <c r="O107" s="4" t="s">
        <v>600</v>
      </c>
      <c r="P107" s="4" t="s">
        <v>193</v>
      </c>
      <c r="Q107" s="4" t="s">
        <v>28</v>
      </c>
      <c r="R107" s="4" t="s">
        <v>28</v>
      </c>
      <c r="S107" s="4" t="s">
        <v>92</v>
      </c>
      <c r="T107" s="5">
        <v>4.0</v>
      </c>
      <c r="U107" s="8" t="str">
        <f t="shared" si="1"/>
        <v>MATTS SITE4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ht="14.25" customHeight="1">
      <c r="A108" s="4" t="s">
        <v>21</v>
      </c>
      <c r="B108" s="4" t="s">
        <v>146</v>
      </c>
      <c r="C108" s="5">
        <v>4.0</v>
      </c>
      <c r="D108" s="4" t="s">
        <v>124</v>
      </c>
      <c r="E108" s="4" t="s">
        <v>601</v>
      </c>
      <c r="F108" s="4" t="s">
        <v>28</v>
      </c>
      <c r="G108" s="4" t="s">
        <v>602</v>
      </c>
      <c r="H108" s="4" t="s">
        <v>603</v>
      </c>
      <c r="I108" s="4" t="s">
        <v>604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  <c r="O108" s="4" t="s">
        <v>605</v>
      </c>
      <c r="P108" s="4" t="s">
        <v>50</v>
      </c>
      <c r="Q108" s="4" t="s">
        <v>28</v>
      </c>
      <c r="R108" s="4" t="s">
        <v>28</v>
      </c>
      <c r="S108" s="4" t="s">
        <v>28</v>
      </c>
      <c r="T108" s="5">
        <v>4.0</v>
      </c>
      <c r="U108" s="8" t="str">
        <f t="shared" si="1"/>
        <v>DALLAS SITE5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ht="14.25" customHeight="1">
      <c r="A109" s="4" t="s">
        <v>21</v>
      </c>
      <c r="B109" s="4" t="s">
        <v>42</v>
      </c>
      <c r="C109" s="5">
        <v>1.0</v>
      </c>
      <c r="D109" s="4" t="s">
        <v>606</v>
      </c>
      <c r="E109" s="4" t="s">
        <v>607</v>
      </c>
      <c r="F109" s="4" t="s">
        <v>608</v>
      </c>
      <c r="G109" s="4" t="s">
        <v>108</v>
      </c>
      <c r="H109" s="4" t="s">
        <v>609</v>
      </c>
      <c r="I109" s="4" t="s">
        <v>610</v>
      </c>
      <c r="J109" s="5">
        <v>49.0</v>
      </c>
      <c r="K109" s="5">
        <v>27.0</v>
      </c>
      <c r="L109" s="5">
        <v>16.0</v>
      </c>
      <c r="M109" s="5">
        <v>4.0</v>
      </c>
      <c r="N109" s="5">
        <v>17.0</v>
      </c>
      <c r="O109" s="4" t="s">
        <v>611</v>
      </c>
      <c r="P109" s="4" t="s">
        <v>193</v>
      </c>
      <c r="Q109" s="4" t="s">
        <v>28</v>
      </c>
      <c r="R109" s="4" t="s">
        <v>28</v>
      </c>
      <c r="S109" s="4"/>
      <c r="T109" s="5">
        <v>4.0</v>
      </c>
      <c r="U109" s="8" t="str">
        <f t="shared" si="1"/>
        <v>ARLINGTON SITE2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8.13"/>
    <col customWidth="1" min="9" max="9" width="30.5"/>
    <col customWidth="1" min="10" max="10" width="16.63"/>
    <col customWidth="1" min="14" max="14" width="20.5"/>
    <col customWidth="1" min="15" max="15" width="20.63"/>
    <col customWidth="1" min="20" max="20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612</v>
      </c>
      <c r="K1" s="2" t="s">
        <v>613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>
      <c r="A2" s="12" t="str">
        <f>IFERROR(__xludf.DUMMYFUNCTION("QUERY(
  JudgeInfo!A2:U1001,
  ""select A,B,C,D,E,F,G,H,I,T,J
   where U = 'DALLAS SITE5'
   order by J asc"",
  0
)"),"INACTIVE")</f>
        <v>INACTIVE</v>
      </c>
      <c r="B2" s="12" t="str">
        <f>IFERROR(__xludf.DUMMYFUNCTION("""COMPUTED_VALUE"""),"INACTIVE JUDGES RECOGNIZED")</f>
        <v>INACTIVE JUDGES RECOGNIZED</v>
      </c>
      <c r="C2" s="12">
        <f>IFERROR(__xludf.DUMMYFUNCTION("""COMPUTED_VALUE"""),3.0)</f>
        <v>3</v>
      </c>
      <c r="D2" s="12" t="str">
        <f>IFERROR(__xludf.DUMMYFUNCTION("""COMPUTED_VALUE"""),"Melinda")</f>
        <v>Melinda</v>
      </c>
      <c r="E2" s="12" t="str">
        <f>IFERROR(__xludf.DUMMYFUNCTION("""COMPUTED_VALUE"""),"Beyer")</f>
        <v>Beyer</v>
      </c>
      <c r="F2" s="12"/>
      <c r="G2" s="12" t="str">
        <f>IFERROR(__xludf.DUMMYFUNCTION("""COMPUTED_VALUE"""),"Carrollton")</f>
        <v>Carrollton</v>
      </c>
      <c r="H2" s="12" t="str">
        <f>IFERROR(__xludf.DUMMYFUNCTION("""COMPUTED_VALUE"""),"972-951-5515")</f>
        <v>972-951-5515</v>
      </c>
      <c r="I2" s="12" t="str">
        <f>IFERROR(__xludf.DUMMYFUNCTION("""COMPUTED_VALUE"""),"mjbeyer8@gmail.com")</f>
        <v>mjbeyer8@gmail.com</v>
      </c>
      <c r="J2" s="13"/>
      <c r="K2" s="12">
        <f>IFERROR(__xludf.DUMMYFUNCTION("""COMPUTED_VALUE"""),0.0)</f>
        <v>0</v>
      </c>
    </row>
    <row r="3">
      <c r="A3" s="12" t="str">
        <f>IFERROR(__xludf.DUMMYFUNCTION("""COMPUTED_VALUE"""),"INACTIVE")</f>
        <v>INACTIVE</v>
      </c>
      <c r="B3" s="12" t="str">
        <f>IFERROR(__xludf.DUMMYFUNCTION("""COMPUTED_VALUE"""),"INACTIVE JUDGES RECOGNIZED")</f>
        <v>INACTIVE JUDGES RECOGNIZED</v>
      </c>
      <c r="C3" s="12">
        <f>IFERROR(__xludf.DUMMYFUNCTION("""COMPUTED_VALUE"""),3.0)</f>
        <v>3</v>
      </c>
      <c r="D3" s="12" t="str">
        <f>IFERROR(__xludf.DUMMYFUNCTION("""COMPUTED_VALUE"""),"Conrad")</f>
        <v>Conrad</v>
      </c>
      <c r="E3" s="12" t="str">
        <f>IFERROR(__xludf.DUMMYFUNCTION("""COMPUTED_VALUE"""),"Bituin")</f>
        <v>Bituin</v>
      </c>
      <c r="F3" s="12"/>
      <c r="G3" s="12" t="str">
        <f>IFERROR(__xludf.DUMMYFUNCTION("""COMPUTED_VALUE"""),"Wylie")</f>
        <v>Wylie</v>
      </c>
      <c r="H3" s="12" t="str">
        <f>IFERROR(__xludf.DUMMYFUNCTION("""COMPUTED_VALUE"""),"469-364-9266")</f>
        <v>469-364-9266</v>
      </c>
      <c r="I3" s="12" t="str">
        <f>IFERROR(__xludf.DUMMYFUNCTION("""COMPUTED_VALUE"""),"inbituinthebrew@gmail.com")</f>
        <v>inbituinthebrew@gmail.com</v>
      </c>
      <c r="J3" s="13"/>
      <c r="K3" s="12">
        <f>IFERROR(__xludf.DUMMYFUNCTION("""COMPUTED_VALUE"""),0.0)</f>
        <v>0</v>
      </c>
    </row>
    <row r="4">
      <c r="A4" s="12" t="str">
        <f>IFERROR(__xludf.DUMMYFUNCTION("""COMPUTED_VALUE"""),"INACTIVE")</f>
        <v>INACTIVE</v>
      </c>
      <c r="B4" s="12" t="str">
        <f>IFERROR(__xludf.DUMMYFUNCTION("""COMPUTED_VALUE"""),"INACTIVE JUDGES RECOGNIZED")</f>
        <v>INACTIVE JUDGES RECOGNIZED</v>
      </c>
      <c r="C4" s="12">
        <f>IFERROR(__xludf.DUMMYFUNCTION("""COMPUTED_VALUE"""),3.0)</f>
        <v>3</v>
      </c>
      <c r="D4" s="12" t="str">
        <f>IFERROR(__xludf.DUMMYFUNCTION("""COMPUTED_VALUE"""),"Christopher")</f>
        <v>Christopher</v>
      </c>
      <c r="E4" s="12" t="str">
        <f>IFERROR(__xludf.DUMMYFUNCTION("""COMPUTED_VALUE"""),"Crowley")</f>
        <v>Crowley</v>
      </c>
      <c r="F4" s="12"/>
      <c r="G4" s="12"/>
      <c r="H4" s="12" t="str">
        <f>IFERROR(__xludf.DUMMYFUNCTION("""COMPUTED_VALUE"""),"8323787022")</f>
        <v>8323787022</v>
      </c>
      <c r="I4" s="12" t="str">
        <f>IFERROR(__xludf.DUMMYFUNCTION("""COMPUTED_VALUE"""),"catholickid@gmail.com")</f>
        <v>catholickid@gmail.com</v>
      </c>
      <c r="J4" s="13"/>
      <c r="K4" s="12">
        <f>IFERROR(__xludf.DUMMYFUNCTION("""COMPUTED_VALUE"""),0.0)</f>
        <v>0</v>
      </c>
    </row>
    <row r="5">
      <c r="A5" s="12" t="str">
        <f>IFERROR(__xludf.DUMMYFUNCTION("""COMPUTED_VALUE"""),"INACTIVE")</f>
        <v>INACTIVE</v>
      </c>
      <c r="B5" s="12" t="str">
        <f>IFERROR(__xludf.DUMMYFUNCTION("""COMPUTED_VALUE"""),"INACTIVE JUDGES CERTIFIED")</f>
        <v>INACTIVE JUDGES CERTIFIED</v>
      </c>
      <c r="C5" s="12">
        <f>IFERROR(__xludf.DUMMYFUNCTION("""COMPUTED_VALUE"""),4.0)</f>
        <v>4</v>
      </c>
      <c r="D5" s="12" t="str">
        <f>IFERROR(__xludf.DUMMYFUNCTION("""COMPUTED_VALUE"""),"Nigel")</f>
        <v>Nigel</v>
      </c>
      <c r="E5" s="12" t="str">
        <f>IFERROR(__xludf.DUMMYFUNCTION("""COMPUTED_VALUE"""),"Curtis")</f>
        <v>Curtis</v>
      </c>
      <c r="F5" s="12" t="str">
        <f>IFERROR(__xludf.DUMMYFUNCTION("""COMPUTED_VALUE"""),"4029 Chisos Rim Trail")</f>
        <v>4029 Chisos Rim Trail</v>
      </c>
      <c r="G5" s="12" t="str">
        <f>IFERROR(__xludf.DUMMYFUNCTION("""COMPUTED_VALUE"""),"Fort Worth")</f>
        <v>Fort Worth</v>
      </c>
      <c r="H5" s="12" t="str">
        <f>IFERROR(__xludf.DUMMYFUNCTION("""COMPUTED_VALUE"""),"682-478-8604")</f>
        <v>682-478-8604</v>
      </c>
      <c r="I5" s="12" t="str">
        <f>IFERROR(__xludf.DUMMYFUNCTION("""COMPUTED_VALUE"""),"nigelcurtis@att.net")</f>
        <v>nigelcurtis@att.net</v>
      </c>
      <c r="J5" s="13"/>
      <c r="K5" s="12">
        <f>IFERROR(__xludf.DUMMYFUNCTION("""COMPUTED_VALUE"""),0.0)</f>
        <v>0</v>
      </c>
    </row>
    <row r="6">
      <c r="A6" s="12" t="str">
        <f>IFERROR(__xludf.DUMMYFUNCTION("""COMPUTED_VALUE"""),"INACTIVE")</f>
        <v>INACTIVE</v>
      </c>
      <c r="B6" s="12" t="str">
        <f>IFERROR(__xludf.DUMMYFUNCTION("""COMPUTED_VALUE"""),"INACTIVE JUDGES CERTIFIED")</f>
        <v>INACTIVE JUDGES CERTIFIED</v>
      </c>
      <c r="C6" s="12">
        <f>IFERROR(__xludf.DUMMYFUNCTION("""COMPUTED_VALUE"""),4.0)</f>
        <v>4</v>
      </c>
      <c r="D6" s="12" t="str">
        <f>IFERROR(__xludf.DUMMYFUNCTION("""COMPUTED_VALUE"""),"Clifton")</f>
        <v>Clifton</v>
      </c>
      <c r="E6" s="12" t="str">
        <f>IFERROR(__xludf.DUMMYFUNCTION("""COMPUTED_VALUE"""),"Ellis")</f>
        <v>Ellis</v>
      </c>
      <c r="F6" s="12"/>
      <c r="G6" s="12" t="str">
        <f>IFERROR(__xludf.DUMMYFUNCTION("""COMPUTED_VALUE"""),"Weatherford")</f>
        <v>Weatherford</v>
      </c>
      <c r="H6" s="12" t="str">
        <f>IFERROR(__xludf.DUMMYFUNCTION("""COMPUTED_VALUE"""),"817-597-5750")</f>
        <v>817-597-5750</v>
      </c>
      <c r="I6" s="12" t="str">
        <f>IFERROR(__xludf.DUMMYFUNCTION("""COMPUTED_VALUE"""),"csellis5750@gmail.com")</f>
        <v>csellis5750@gmail.com</v>
      </c>
      <c r="J6" s="13"/>
      <c r="K6" s="12">
        <f>IFERROR(__xludf.DUMMYFUNCTION("""COMPUTED_VALUE"""),0.0)</f>
        <v>0</v>
      </c>
    </row>
    <row r="7">
      <c r="A7" s="12" t="str">
        <f>IFERROR(__xludf.DUMMYFUNCTION("""COMPUTED_VALUE"""),"ACTIVE")</f>
        <v>ACTIVE</v>
      </c>
      <c r="B7" s="12" t="str">
        <f>IFERROR(__xludf.DUMMYFUNCTION("""COMPUTED_VALUE"""),"ACTIVE JUDGES CERTIFIED")</f>
        <v>ACTIVE JUDGES CERTIFIED</v>
      </c>
      <c r="C7" s="12">
        <f>IFERROR(__xludf.DUMMYFUNCTION("""COMPUTED_VALUE"""),4.0)</f>
        <v>4</v>
      </c>
      <c r="D7" s="12" t="str">
        <f>IFERROR(__xludf.DUMMYFUNCTION("""COMPUTED_VALUE"""),"Scott")</f>
        <v>Scott</v>
      </c>
      <c r="E7" s="12" t="str">
        <f>IFERROR(__xludf.DUMMYFUNCTION("""COMPUTED_VALUE"""),"Eppelman")</f>
        <v>Eppelman</v>
      </c>
      <c r="F7" s="12"/>
      <c r="G7" s="12" t="str">
        <f>IFERROR(__xludf.DUMMYFUNCTION("""COMPUTED_VALUE"""),"Coppell")</f>
        <v>Coppell</v>
      </c>
      <c r="H7" s="12" t="str">
        <f>IFERROR(__xludf.DUMMYFUNCTION("""COMPUTED_VALUE"""),"214-566-0415")</f>
        <v>214-566-0415</v>
      </c>
      <c r="I7" s="12" t="str">
        <f>IFERROR(__xludf.DUMMYFUNCTION("""COMPUTED_VALUE"""),"scottepp1@verizon.net")</f>
        <v>scottepp1@verizon.net</v>
      </c>
      <c r="J7" s="13">
        <f>IFERROR(__xludf.DUMMYFUNCTION("""COMPUTED_VALUE"""),4.0)</f>
        <v>4</v>
      </c>
      <c r="K7" s="12">
        <f>IFERROR(__xludf.DUMMYFUNCTION("""COMPUTED_VALUE"""),0.0)</f>
        <v>0</v>
      </c>
    </row>
    <row r="8">
      <c r="A8" s="12" t="str">
        <f>IFERROR(__xludf.DUMMYFUNCTION("""COMPUTED_VALUE"""),"INACTIVE")</f>
        <v>INACTIVE</v>
      </c>
      <c r="B8" s="12" t="str">
        <f>IFERROR(__xludf.DUMMYFUNCTION("""COMPUTED_VALUE"""),"INACTIVE JUDGES RECOGNIZED")</f>
        <v>INACTIVE JUDGES RECOGNIZED</v>
      </c>
      <c r="C8" s="12">
        <f>IFERROR(__xludf.DUMMYFUNCTION("""COMPUTED_VALUE"""),3.0)</f>
        <v>3</v>
      </c>
      <c r="D8" s="12" t="str">
        <f>IFERROR(__xludf.DUMMYFUNCTION("""COMPUTED_VALUE"""),"Harry L.")</f>
        <v>Harry L.</v>
      </c>
      <c r="E8" s="12" t="str">
        <f>IFERROR(__xludf.DUMMYFUNCTION("""COMPUTED_VALUE"""),"Gharis")</f>
        <v>Gharis</v>
      </c>
      <c r="F8" s="12"/>
      <c r="G8" s="12" t="str">
        <f>IFERROR(__xludf.DUMMYFUNCTION("""COMPUTED_VALUE"""),"The Colony")</f>
        <v>The Colony</v>
      </c>
      <c r="H8" s="12" t="str">
        <f>IFERROR(__xludf.DUMMYFUNCTION("""COMPUTED_VALUE"""),"214-460-5697")</f>
        <v>214-460-5697</v>
      </c>
      <c r="I8" s="12" t="str">
        <f>IFERROR(__xludf.DUMMYFUNCTION("""COMPUTED_VALUE"""),"lgharis@swbell.net")</f>
        <v>lgharis@swbell.net</v>
      </c>
      <c r="J8" s="13"/>
      <c r="K8" s="12">
        <f>IFERROR(__xludf.DUMMYFUNCTION("""COMPUTED_VALUE"""),0.0)</f>
        <v>0</v>
      </c>
    </row>
    <row r="9">
      <c r="A9" s="12" t="str">
        <f>IFERROR(__xludf.DUMMYFUNCTION("""COMPUTED_VALUE"""),"INACTIVE")</f>
        <v>INACTIVE</v>
      </c>
      <c r="B9" s="12" t="str">
        <f>IFERROR(__xludf.DUMMYFUNCTION("""COMPUTED_VALUE"""),"INACTIVE JUDGES CERTIFIED")</f>
        <v>INACTIVE JUDGES CERTIFIED</v>
      </c>
      <c r="C9" s="12">
        <f>IFERROR(__xludf.DUMMYFUNCTION("""COMPUTED_VALUE"""),4.0)</f>
        <v>4</v>
      </c>
      <c r="D9" s="12" t="str">
        <f>IFERROR(__xludf.DUMMYFUNCTION("""COMPUTED_VALUE"""),"Nicholas")</f>
        <v>Nicholas</v>
      </c>
      <c r="E9" s="12" t="str">
        <f>IFERROR(__xludf.DUMMYFUNCTION("""COMPUTED_VALUE"""),"Goodman")</f>
        <v>Goodman</v>
      </c>
      <c r="F9" s="12"/>
      <c r="G9" s="12" t="str">
        <f>IFERROR(__xludf.DUMMYFUNCTION("""COMPUTED_VALUE"""),"Bedford")</f>
        <v>Bedford</v>
      </c>
      <c r="H9" s="12" t="str">
        <f>IFERROR(__xludf.DUMMYFUNCTION("""COMPUTED_VALUE"""),"817-875-7391")</f>
        <v>817-875-7391</v>
      </c>
      <c r="I9" s="12" t="str">
        <f>IFERROR(__xludf.DUMMYFUNCTION("""COMPUTED_VALUE"""),"nick.goodman@gmail.com")</f>
        <v>nick.goodman@gmail.com</v>
      </c>
      <c r="J9" s="13"/>
      <c r="K9" s="12">
        <f>IFERROR(__xludf.DUMMYFUNCTION("""COMPUTED_VALUE"""),0.0)</f>
        <v>0</v>
      </c>
    </row>
    <row r="10">
      <c r="A10" s="12" t="str">
        <f>IFERROR(__xludf.DUMMYFUNCTION("""COMPUTED_VALUE"""),"INACTIVE")</f>
        <v>INACTIVE</v>
      </c>
      <c r="B10" s="12" t="str">
        <f>IFERROR(__xludf.DUMMYFUNCTION("""COMPUTED_VALUE"""),"INACTIVE JUDGES CERTIFIED")</f>
        <v>INACTIVE JUDGES CERTIFIED</v>
      </c>
      <c r="C10" s="12">
        <f>IFERROR(__xludf.DUMMYFUNCTION("""COMPUTED_VALUE"""),4.0)</f>
        <v>4</v>
      </c>
      <c r="D10" s="12" t="str">
        <f>IFERROR(__xludf.DUMMYFUNCTION("""COMPUTED_VALUE"""),"James P")</f>
        <v>James P</v>
      </c>
      <c r="E10" s="12" t="str">
        <f>IFERROR(__xludf.DUMMYFUNCTION("""COMPUTED_VALUE"""),"Grady")</f>
        <v>Grady</v>
      </c>
      <c r="F10" s="12"/>
      <c r="G10" s="12" t="str">
        <f>IFERROR(__xludf.DUMMYFUNCTION("""COMPUTED_VALUE"""),"Grand Prairie")</f>
        <v>Grand Prairie</v>
      </c>
      <c r="H10" s="12" t="str">
        <f>IFERROR(__xludf.DUMMYFUNCTION("""COMPUTED_VALUE"""),"972-606-4856")</f>
        <v>972-606-4856</v>
      </c>
      <c r="I10" s="12" t="str">
        <f>IFERROR(__xludf.DUMMYFUNCTION("""COMPUTED_VALUE"""),"jimgrady_57@yahoo.com")</f>
        <v>jimgrady_57@yahoo.com</v>
      </c>
      <c r="J10" s="13"/>
      <c r="K10" s="12">
        <f>IFERROR(__xludf.DUMMYFUNCTION("""COMPUTED_VALUE"""),0.0)</f>
        <v>0</v>
      </c>
    </row>
    <row r="11">
      <c r="A11" s="12" t="str">
        <f>IFERROR(__xludf.DUMMYFUNCTION("""COMPUTED_VALUE"""),"ACTIVE")</f>
        <v>ACTIVE</v>
      </c>
      <c r="B11" s="12" t="str">
        <f>IFERROR(__xludf.DUMMYFUNCTION("""COMPUTED_VALUE"""),"ACTIVE JUDGES CERTIFIED")</f>
        <v>ACTIVE JUDGES CERTIFIED</v>
      </c>
      <c r="C11" s="12">
        <f>IFERROR(__xludf.DUMMYFUNCTION("""COMPUTED_VALUE"""),4.0)</f>
        <v>4</v>
      </c>
      <c r="D11" s="12" t="str">
        <f>IFERROR(__xludf.DUMMYFUNCTION("""COMPUTED_VALUE"""),"Keith")</f>
        <v>Keith</v>
      </c>
      <c r="E11" s="12" t="str">
        <f>IFERROR(__xludf.DUMMYFUNCTION("""COMPUTED_VALUE"""),"Green")</f>
        <v>Green</v>
      </c>
      <c r="F11" s="12"/>
      <c r="G11" s="12" t="str">
        <f>IFERROR(__xludf.DUMMYFUNCTION("""COMPUTED_VALUE"""),"Denton")</f>
        <v>Denton</v>
      </c>
      <c r="H11" s="12" t="str">
        <f>IFERROR(__xludf.DUMMYFUNCTION("""COMPUTED_VALUE"""),"469-693-8232")</f>
        <v>469-693-8232</v>
      </c>
      <c r="I11" s="12" t="str">
        <f>IFERROR(__xludf.DUMMYFUNCTION("""COMPUTED_VALUE"""),"NorthTexasKEG@gmail.com")</f>
        <v>NorthTexasKEG@gmail.com</v>
      </c>
      <c r="J11" s="13">
        <f>IFERROR(__xludf.DUMMYFUNCTION("""COMPUTED_VALUE"""),2.0)</f>
        <v>2</v>
      </c>
      <c r="K11" s="12">
        <f>IFERROR(__xludf.DUMMYFUNCTION("""COMPUTED_VALUE"""),0.0)</f>
        <v>0</v>
      </c>
    </row>
    <row r="12">
      <c r="A12" s="12" t="str">
        <f>IFERROR(__xludf.DUMMYFUNCTION("""COMPUTED_VALUE"""),"INACTIVE")</f>
        <v>INACTIVE</v>
      </c>
      <c r="B12" s="12" t="str">
        <f>IFERROR(__xludf.DUMMYFUNCTION("""COMPUTED_VALUE"""),"INACTIVE JUDGES CERTIFIED")</f>
        <v>INACTIVE JUDGES CERTIFIED</v>
      </c>
      <c r="C12" s="12">
        <f>IFERROR(__xludf.DUMMYFUNCTION("""COMPUTED_VALUE"""),4.0)</f>
        <v>4</v>
      </c>
      <c r="D12" s="12" t="str">
        <f>IFERROR(__xludf.DUMMYFUNCTION("""COMPUTED_VALUE"""),"Andrew")</f>
        <v>Andrew</v>
      </c>
      <c r="E12" s="12" t="str">
        <f>IFERROR(__xludf.DUMMYFUNCTION("""COMPUTED_VALUE"""),"Huerter")</f>
        <v>Huerter</v>
      </c>
      <c r="F12" s="12"/>
      <c r="G12" s="12" t="str">
        <f>IFERROR(__xludf.DUMMYFUNCTION("""COMPUTED_VALUE"""),"Dallas")</f>
        <v>Dallas</v>
      </c>
      <c r="H12" s="12" t="str">
        <f>IFERROR(__xludf.DUMMYFUNCTION("""COMPUTED_VALUE"""),"913-406-3608")</f>
        <v>913-406-3608</v>
      </c>
      <c r="I12" s="12" t="str">
        <f>IFERROR(__xludf.DUMMYFUNCTION("""COMPUTED_VALUE"""),"Andrew.Huerter@gmail.com")</f>
        <v>Andrew.Huerter@gmail.com</v>
      </c>
      <c r="J12" s="13"/>
      <c r="K12" s="12">
        <f>IFERROR(__xludf.DUMMYFUNCTION("""COMPUTED_VALUE"""),0.0)</f>
        <v>0</v>
      </c>
    </row>
    <row r="13">
      <c r="A13" s="12" t="str">
        <f>IFERROR(__xludf.DUMMYFUNCTION("""COMPUTED_VALUE"""),"ACTIVE")</f>
        <v>ACTIVE</v>
      </c>
      <c r="B13" s="12" t="str">
        <f>IFERROR(__xludf.DUMMYFUNCTION("""COMPUTED_VALUE"""),"ACTIVE JUDGES RECOGNIZED")</f>
        <v>ACTIVE JUDGES RECOGNIZED</v>
      </c>
      <c r="C13" s="12">
        <f>IFERROR(__xludf.DUMMYFUNCTION("""COMPUTED_VALUE"""),3.0)</f>
        <v>3</v>
      </c>
      <c r="D13" s="12" t="str">
        <f>IFERROR(__xludf.DUMMYFUNCTION("""COMPUTED_VALUE"""),"Jerry")</f>
        <v>Jerry</v>
      </c>
      <c r="E13" s="12" t="str">
        <f>IFERROR(__xludf.DUMMYFUNCTION("""COMPUTED_VALUE"""),"Keeney")</f>
        <v>Keeney</v>
      </c>
      <c r="F13" s="12"/>
      <c r="G13" s="12" t="str">
        <f>IFERROR(__xludf.DUMMYFUNCTION("""COMPUTED_VALUE"""),"Grapevine")</f>
        <v>Grapevine</v>
      </c>
      <c r="H13" s="12" t="str">
        <f>IFERROR(__xludf.DUMMYFUNCTION("""COMPUTED_VALUE"""),"971-400-1968")</f>
        <v>971-400-1968</v>
      </c>
      <c r="I13" s="12" t="str">
        <f>IFERROR(__xludf.DUMMYFUNCTION("""COMPUTED_VALUE"""),"jerry@keeney.one")</f>
        <v>jerry@keeney.one</v>
      </c>
      <c r="J13" s="13">
        <f>IFERROR(__xludf.DUMMYFUNCTION("""COMPUTED_VALUE"""),4.0)</f>
        <v>4</v>
      </c>
      <c r="K13" s="12">
        <f>IFERROR(__xludf.DUMMYFUNCTION("""COMPUTED_VALUE"""),0.0)</f>
        <v>0</v>
      </c>
    </row>
    <row r="14">
      <c r="A14" s="12" t="str">
        <f>IFERROR(__xludf.DUMMYFUNCTION("""COMPUTED_VALUE"""),"INACTIVE")</f>
        <v>INACTIVE</v>
      </c>
      <c r="B14" s="12" t="str">
        <f>IFERROR(__xludf.DUMMYFUNCTION("""COMPUTED_VALUE"""),"INACTIVE JUDGES CERTIFIED")</f>
        <v>INACTIVE JUDGES CERTIFIED</v>
      </c>
      <c r="C14" s="12">
        <f>IFERROR(__xludf.DUMMYFUNCTION("""COMPUTED_VALUE"""),4.0)</f>
        <v>4</v>
      </c>
      <c r="D14" s="12" t="str">
        <f>IFERROR(__xludf.DUMMYFUNCTION("""COMPUTED_VALUE"""),"Seth")</f>
        <v>Seth</v>
      </c>
      <c r="E14" s="12" t="str">
        <f>IFERROR(__xludf.DUMMYFUNCTION("""COMPUTED_VALUE"""),"Morgan")</f>
        <v>Morgan</v>
      </c>
      <c r="F14" s="12"/>
      <c r="G14" s="12" t="str">
        <f>IFERROR(__xludf.DUMMYFUNCTION("""COMPUTED_VALUE"""),"Denton")</f>
        <v>Denton</v>
      </c>
      <c r="H14" s="12" t="str">
        <f>IFERROR(__xludf.DUMMYFUNCTION("""COMPUTED_VALUE"""),"214-298-5500")</f>
        <v>214-298-5500</v>
      </c>
      <c r="I14" s="12" t="str">
        <f>IFERROR(__xludf.DUMMYFUNCTION("""COMPUTED_VALUE"""),"cheers@dentoncbc.com")</f>
        <v>cheers@dentoncbc.com</v>
      </c>
      <c r="J14" s="13"/>
      <c r="K14" s="12">
        <f>IFERROR(__xludf.DUMMYFUNCTION("""COMPUTED_VALUE"""),0.0)</f>
        <v>0</v>
      </c>
    </row>
    <row r="15">
      <c r="A15" s="12" t="str">
        <f>IFERROR(__xludf.DUMMYFUNCTION("""COMPUTED_VALUE"""),"INACTIVE")</f>
        <v>INACTIVE</v>
      </c>
      <c r="B15" s="12" t="str">
        <f>IFERROR(__xludf.DUMMYFUNCTION("""COMPUTED_VALUE"""),"INACTIVE JUDGES RECOGNIZED")</f>
        <v>INACTIVE JUDGES RECOGNIZED</v>
      </c>
      <c r="C15" s="12">
        <f>IFERROR(__xludf.DUMMYFUNCTION("""COMPUTED_VALUE"""),3.0)</f>
        <v>3</v>
      </c>
      <c r="D15" s="12" t="str">
        <f>IFERROR(__xludf.DUMMYFUNCTION("""COMPUTED_VALUE"""),"Anthony")</f>
        <v>Anthony</v>
      </c>
      <c r="E15" s="12" t="str">
        <f>IFERROR(__xludf.DUMMYFUNCTION("""COMPUTED_VALUE"""),"Perea")</f>
        <v>Perea</v>
      </c>
      <c r="F15" s="12"/>
      <c r="G15" s="12" t="str">
        <f>IFERROR(__xludf.DUMMYFUNCTION("""COMPUTED_VALUE"""),"Plano")</f>
        <v>Plano</v>
      </c>
      <c r="H15" s="12" t="str">
        <f>IFERROR(__xludf.DUMMYFUNCTION("""COMPUTED_VALUE"""),"972-312-9094")</f>
        <v>972-312-9094</v>
      </c>
      <c r="I15" s="12" t="str">
        <f>IFERROR(__xludf.DUMMYFUNCTION("""COMPUTED_VALUE"""),"acperea@aol.com")</f>
        <v>acperea@aol.com</v>
      </c>
      <c r="J15" s="13"/>
      <c r="K15" s="12">
        <f>IFERROR(__xludf.DUMMYFUNCTION("""COMPUTED_VALUE"""),0.0)</f>
        <v>0</v>
      </c>
    </row>
    <row r="16">
      <c r="A16" s="12" t="str">
        <f>IFERROR(__xludf.DUMMYFUNCTION("""COMPUTED_VALUE"""),"ACTIVE")</f>
        <v>ACTIVE</v>
      </c>
      <c r="B16" s="12" t="str">
        <f>IFERROR(__xludf.DUMMYFUNCTION("""COMPUTED_VALUE"""),"ACTIVE JUDGES RECOGNIZED")</f>
        <v>ACTIVE JUDGES RECOGNIZED</v>
      </c>
      <c r="C16" s="12">
        <f>IFERROR(__xludf.DUMMYFUNCTION("""COMPUTED_VALUE"""),3.0)</f>
        <v>3</v>
      </c>
      <c r="D16" s="12" t="str">
        <f>IFERROR(__xludf.DUMMYFUNCTION("""COMPUTED_VALUE"""),"Michael")</f>
        <v>Michael</v>
      </c>
      <c r="E16" s="12" t="str">
        <f>IFERROR(__xludf.DUMMYFUNCTION("""COMPUTED_VALUE"""),"Porter")</f>
        <v>Porter</v>
      </c>
      <c r="F16" s="12"/>
      <c r="G16" s="12" t="str">
        <f>IFERROR(__xludf.DUMMYFUNCTION("""COMPUTED_VALUE"""),"Temple")</f>
        <v>Temple</v>
      </c>
      <c r="H16" s="12" t="str">
        <f>IFERROR(__xludf.DUMMYFUNCTION("""COMPUTED_VALUE"""),"817-946-9786")</f>
        <v>817-946-9786</v>
      </c>
      <c r="I16" s="12" t="str">
        <f>IFERROR(__xludf.DUMMYFUNCTION("""COMPUTED_VALUE"""),"portfam97@gmail.com")</f>
        <v>portfam97@gmail.com</v>
      </c>
      <c r="J16" s="13">
        <f>IFERROR(__xludf.DUMMYFUNCTION("""COMPUTED_VALUE"""),1.0)</f>
        <v>1</v>
      </c>
      <c r="K16" s="12">
        <f>IFERROR(__xludf.DUMMYFUNCTION("""COMPUTED_VALUE"""),0.0)</f>
        <v>0</v>
      </c>
    </row>
    <row r="17">
      <c r="A17" s="12" t="str">
        <f>IFERROR(__xludf.DUMMYFUNCTION("""COMPUTED_VALUE"""),"INACTIVE")</f>
        <v>INACTIVE</v>
      </c>
      <c r="B17" s="12" t="str">
        <f>IFERROR(__xludf.DUMMYFUNCTION("""COMPUTED_VALUE"""),"INACTIVE JUDGES RECOGNIZED")</f>
        <v>INACTIVE JUDGES RECOGNIZED</v>
      </c>
      <c r="C17" s="12">
        <f>IFERROR(__xludf.DUMMYFUNCTION("""COMPUTED_VALUE"""),3.0)</f>
        <v>3</v>
      </c>
      <c r="D17" s="12" t="str">
        <f>IFERROR(__xludf.DUMMYFUNCTION("""COMPUTED_VALUE"""),"Mark")</f>
        <v>Mark</v>
      </c>
      <c r="E17" s="12" t="str">
        <f>IFERROR(__xludf.DUMMYFUNCTION("""COMPUTED_VALUE"""),"Rendon")</f>
        <v>Rendon</v>
      </c>
      <c r="F17" s="12"/>
      <c r="G17" s="12" t="str">
        <f>IFERROR(__xludf.DUMMYFUNCTION("""COMPUTED_VALUE"""),"Richardson")</f>
        <v>Richardson</v>
      </c>
      <c r="H17" s="12" t="str">
        <f>IFERROR(__xludf.DUMMYFUNCTION("""COMPUTED_VALUE"""),"214-616-3048")</f>
        <v>214-616-3048</v>
      </c>
      <c r="I17" s="12" t="str">
        <f>IFERROR(__xludf.DUMMYFUNCTION("""COMPUTED_VALUE"""),"jmrendonmd@gmail.com")</f>
        <v>jmrendonmd@gmail.com</v>
      </c>
      <c r="J17" s="13"/>
      <c r="K17" s="12">
        <f>IFERROR(__xludf.DUMMYFUNCTION("""COMPUTED_VALUE"""),0.0)</f>
        <v>0</v>
      </c>
    </row>
    <row r="18">
      <c r="A18" s="12" t="str">
        <f>IFERROR(__xludf.DUMMYFUNCTION("""COMPUTED_VALUE"""),"INACTIVE")</f>
        <v>INACTIVE</v>
      </c>
      <c r="B18" s="12" t="str">
        <f>IFERROR(__xludf.DUMMYFUNCTION("""COMPUTED_VALUE"""),"INACTIVE JUDGES CERTIFIED")</f>
        <v>INACTIVE JUDGES CERTIFIED</v>
      </c>
      <c r="C18" s="12">
        <f>IFERROR(__xludf.DUMMYFUNCTION("""COMPUTED_VALUE"""),4.0)</f>
        <v>4</v>
      </c>
      <c r="D18" s="12" t="str">
        <f>IFERROR(__xludf.DUMMYFUNCTION("""COMPUTED_VALUE"""),"Dean")</f>
        <v>Dean</v>
      </c>
      <c r="E18" s="12" t="str">
        <f>IFERROR(__xludf.DUMMYFUNCTION("""COMPUTED_VALUE"""),"Weaver")</f>
        <v>Weaver</v>
      </c>
      <c r="F18" s="12"/>
      <c r="G18" s="12" t="str">
        <f>IFERROR(__xludf.DUMMYFUNCTION("""COMPUTED_VALUE"""),"Dallas")</f>
        <v>Dallas</v>
      </c>
      <c r="H18" s="12" t="str">
        <f>IFERROR(__xludf.DUMMYFUNCTION("""COMPUTED_VALUE"""),"214-360-0004")</f>
        <v>214-360-0004</v>
      </c>
      <c r="I18" s="12" t="str">
        <f>IFERROR(__xludf.DUMMYFUNCTION("""COMPUTED_VALUE"""),"dnweaver@swbell.net")</f>
        <v>dnweaver@swbell.net</v>
      </c>
      <c r="J18" s="13"/>
      <c r="K18" s="12">
        <f>IFERROR(__xludf.DUMMYFUNCTION("""COMPUTED_VALUE"""),0.0)</f>
        <v>0</v>
      </c>
    </row>
    <row r="19">
      <c r="A19" s="12" t="str">
        <f>IFERROR(__xludf.DUMMYFUNCTION("""COMPUTED_VALUE"""),"ACTIVE")</f>
        <v>ACTIVE</v>
      </c>
      <c r="B19" s="12" t="str">
        <f>IFERROR(__xludf.DUMMYFUNCTION("""COMPUTED_VALUE"""),"ACTIVE JUDGES CERTIFIED")</f>
        <v>ACTIVE JUDGES CERTIFIED</v>
      </c>
      <c r="C19" s="12">
        <f>IFERROR(__xludf.DUMMYFUNCTION("""COMPUTED_VALUE"""),4.0)</f>
        <v>4</v>
      </c>
      <c r="D19" s="12" t="str">
        <f>IFERROR(__xludf.DUMMYFUNCTION("""COMPUTED_VALUE"""),"James")</f>
        <v>James</v>
      </c>
      <c r="E19" s="12" t="str">
        <f>IFERROR(__xludf.DUMMYFUNCTION("""COMPUTED_VALUE"""),"Wolfe")</f>
        <v>Wolfe</v>
      </c>
      <c r="F19" s="12"/>
      <c r="G19" s="12" t="str">
        <f>IFERROR(__xludf.DUMMYFUNCTION("""COMPUTED_VALUE"""),"Mansfield")</f>
        <v>Mansfield</v>
      </c>
      <c r="H19" s="12" t="str">
        <f>IFERROR(__xludf.DUMMYFUNCTION("""COMPUTED_VALUE"""),"832-630-1505")</f>
        <v>832-630-1505</v>
      </c>
      <c r="I19" s="12" t="str">
        <f>IFERROR(__xludf.DUMMYFUNCTION("""COMPUTED_VALUE"""),"wolfe.james.p@gmail.com")</f>
        <v>wolfe.james.p@gmail.com</v>
      </c>
      <c r="J19" s="13">
        <f>IFERROR(__xludf.DUMMYFUNCTION("""COMPUTED_VALUE"""),4.0)</f>
        <v>4</v>
      </c>
      <c r="K19" s="12">
        <f>IFERROR(__xludf.DUMMYFUNCTION("""COMPUTED_VALUE"""),0.0)</f>
        <v>0</v>
      </c>
    </row>
    <row r="20">
      <c r="A20" s="12" t="str">
        <f>IFERROR(__xludf.DUMMYFUNCTION("""COMPUTED_VALUE"""),"ACTIVE")</f>
        <v>ACTIVE</v>
      </c>
      <c r="B20" s="12" t="str">
        <f>IFERROR(__xludf.DUMMYFUNCTION("""COMPUTED_VALUE"""),"ACTIVE JUDGES NON BJCP")</f>
        <v>ACTIVE JUDGES NON BJCP</v>
      </c>
      <c r="C20" s="12">
        <f>IFERROR(__xludf.DUMMYFUNCTION("""COMPUTED_VALUE"""),2.0)</f>
        <v>2</v>
      </c>
      <c r="D20" s="12" t="str">
        <f>IFERROR(__xludf.DUMMYFUNCTION("""COMPUTED_VALUE"""),"Evan")</f>
        <v>Evan</v>
      </c>
      <c r="E20" s="12" t="str">
        <f>IFERROR(__xludf.DUMMYFUNCTION("""COMPUTED_VALUE"""),"Brady")</f>
        <v>Brady</v>
      </c>
      <c r="F20" s="12" t="str">
        <f>IFERROR(__xludf.DUMMYFUNCTION("""COMPUTED_VALUE"""),"4900 Pear Ridge Dr. Apt. 703")</f>
        <v>4900 Pear Ridge Dr. Apt. 703</v>
      </c>
      <c r="G20" s="12" t="str">
        <f>IFERROR(__xludf.DUMMYFUNCTION("""COMPUTED_VALUE"""),"Dallas")</f>
        <v>Dallas</v>
      </c>
      <c r="H20" s="12"/>
      <c r="I20" s="12" t="str">
        <f>IFERROR(__xludf.DUMMYFUNCTION("""COMPUTED_VALUE"""),"ebrady50@gmail.com")</f>
        <v>ebrady50@gmail.com</v>
      </c>
      <c r="J20" s="13">
        <f>IFERROR(__xludf.DUMMYFUNCTION("""COMPUTED_VALUE"""),3.0)</f>
        <v>3</v>
      </c>
      <c r="K20" s="12">
        <f>IFERROR(__xludf.DUMMYFUNCTION("""COMPUTED_VALUE"""),3.0)</f>
        <v>3</v>
      </c>
    </row>
    <row r="21">
      <c r="A21" s="12" t="str">
        <f>IFERROR(__xludf.DUMMYFUNCTION("""COMPUTED_VALUE"""),"ACTIVE")</f>
        <v>ACTIVE</v>
      </c>
      <c r="B21" s="12" t="str">
        <f>IFERROR(__xludf.DUMMYFUNCTION("""COMPUTED_VALUE"""),"ACTIVE JUDGES CERTIFIED ")</f>
        <v>ACTIVE JUDGES CERTIFIED </v>
      </c>
      <c r="C21" s="12">
        <f>IFERROR(__xludf.DUMMYFUNCTION("""COMPUTED_VALUE"""),1.0)</f>
        <v>1</v>
      </c>
      <c r="D21" s="12" t="str">
        <f>IFERROR(__xludf.DUMMYFUNCTION("""COMPUTED_VALUE"""),"Nathan")</f>
        <v>Nathan</v>
      </c>
      <c r="E21" s="12" t="str">
        <f>IFERROR(__xludf.DUMMYFUNCTION("""COMPUTED_VALUE"""),"Fenster")</f>
        <v>Fenster</v>
      </c>
      <c r="F21" s="12" t="str">
        <f>IFERROR(__xludf.DUMMYFUNCTION("""COMPUTED_VALUE"""),"4521 Fargo Drive")</f>
        <v>4521 Fargo Drive</v>
      </c>
      <c r="G21" s="12" t="str">
        <f>IFERROR(__xludf.DUMMYFUNCTION("""COMPUTED_VALUE"""),"Plano")</f>
        <v>Plano</v>
      </c>
      <c r="H21" s="12" t="str">
        <f>IFERROR(__xludf.DUMMYFUNCTION("""COMPUTED_VALUE"""),"214-499-2434")</f>
        <v>214-499-2434</v>
      </c>
      <c r="I21" s="12" t="str">
        <f>IFERROR(__xludf.DUMMYFUNCTION("""COMPUTED_VALUE"""),"nfenster@gmail.com")</f>
        <v>nfenster@gmail.com</v>
      </c>
      <c r="J21" s="13">
        <f>IFERROR(__xludf.DUMMYFUNCTION("""COMPUTED_VALUE"""),1.0)</f>
        <v>1</v>
      </c>
      <c r="K21" s="12">
        <f>IFERROR(__xludf.DUMMYFUNCTION("""COMPUTED_VALUE"""),3.0)</f>
        <v>3</v>
      </c>
    </row>
    <row r="22">
      <c r="A22" s="12" t="str">
        <f>IFERROR(__xludf.DUMMYFUNCTION("""COMPUTED_VALUE"""),"ACTIVE")</f>
        <v>ACTIVE</v>
      </c>
      <c r="B22" s="12" t="str">
        <f>IFERROR(__xludf.DUMMYFUNCTION("""COMPUTED_VALUE"""),"ACTIVE JUDGES CERTIFIED ")</f>
        <v>ACTIVE JUDGES CERTIFIED </v>
      </c>
      <c r="C22" s="12">
        <f>IFERROR(__xludf.DUMMYFUNCTION("""COMPUTED_VALUE"""),1.0)</f>
        <v>1</v>
      </c>
      <c r="D22" s="12" t="str">
        <f>IFERROR(__xludf.DUMMYFUNCTION("""COMPUTED_VALUE"""),"Barry")</f>
        <v>Barry</v>
      </c>
      <c r="E22" s="12" t="str">
        <f>IFERROR(__xludf.DUMMYFUNCTION("""COMPUTED_VALUE"""),"Forrest")</f>
        <v>Forrest</v>
      </c>
      <c r="F22" s="12" t="str">
        <f>IFERROR(__xludf.DUMMYFUNCTION("""COMPUTED_VALUE"""),"4115 West Creek Court")</f>
        <v>4115 West Creek Court</v>
      </c>
      <c r="G22" s="12" t="str">
        <f>IFERROR(__xludf.DUMMYFUNCTION("""COMPUTED_VALUE"""),"Dallas")</f>
        <v>Dallas</v>
      </c>
      <c r="H22" s="12" t="str">
        <f>IFERROR(__xludf.DUMMYFUNCTION("""COMPUTED_VALUE"""),"940-435-8456")</f>
        <v>940-435-8456</v>
      </c>
      <c r="I22" s="12" t="str">
        <f>IFERROR(__xludf.DUMMYFUNCTION("""COMPUTED_VALUE"""),"bforrest30@gmail.com")</f>
        <v>bforrest30@gmail.com</v>
      </c>
      <c r="J22" s="13">
        <f>IFERROR(__xludf.DUMMYFUNCTION("""COMPUTED_VALUE"""),3.0)</f>
        <v>3</v>
      </c>
      <c r="K22" s="12">
        <f>IFERROR(__xludf.DUMMYFUNCTION("""COMPUTED_VALUE"""),3.0)</f>
        <v>3</v>
      </c>
    </row>
    <row r="23">
      <c r="A23" s="12" t="str">
        <f>IFERROR(__xludf.DUMMYFUNCTION("""COMPUTED_VALUE"""),"ACTIVE")</f>
        <v>ACTIVE</v>
      </c>
      <c r="B23" s="12" t="str">
        <f>IFERROR(__xludf.DUMMYFUNCTION("""COMPUTED_VALUE"""),"ACTIVE JUDGES NON BJCP")</f>
        <v>ACTIVE JUDGES NON BJCP</v>
      </c>
      <c r="C23" s="12">
        <f>IFERROR(__xludf.DUMMYFUNCTION("""COMPUTED_VALUE"""),2.0)</f>
        <v>2</v>
      </c>
      <c r="D23" s="12" t="str">
        <f>IFERROR(__xludf.DUMMYFUNCTION("""COMPUTED_VALUE"""),"Dave")</f>
        <v>Dave</v>
      </c>
      <c r="E23" s="12" t="str">
        <f>IFERROR(__xludf.DUMMYFUNCTION("""COMPUTED_VALUE"""),"Littleton")</f>
        <v>Littleton</v>
      </c>
      <c r="F23" s="12" t="str">
        <f>IFERROR(__xludf.DUMMYFUNCTION("""COMPUTED_VALUE"""),"17115 Bullaye Way")</f>
        <v>17115 Bullaye Way</v>
      </c>
      <c r="G23" s="12" t="str">
        <f>IFERROR(__xludf.DUMMYFUNCTION("""COMPUTED_VALUE"""),"Dallas")</f>
        <v>Dallas</v>
      </c>
      <c r="H23" s="12"/>
      <c r="I23" s="12" t="str">
        <f>IFERROR(__xludf.DUMMYFUNCTION("""COMPUTED_VALUE"""),"dlittleton@halff.com")</f>
        <v>dlittleton@halff.com</v>
      </c>
      <c r="J23" s="13">
        <f>IFERROR(__xludf.DUMMYFUNCTION("""COMPUTED_VALUE"""),4.0)</f>
        <v>4</v>
      </c>
      <c r="K23" s="12">
        <f>IFERROR(__xludf.DUMMYFUNCTION("""COMPUTED_VALUE"""),3.0)</f>
        <v>3</v>
      </c>
    </row>
    <row r="24">
      <c r="A24" s="12" t="str">
        <f>IFERROR(__xludf.DUMMYFUNCTION("""COMPUTED_VALUE"""),"ACTIVE")</f>
        <v>ACTIVE</v>
      </c>
      <c r="B24" s="12" t="str">
        <f>IFERROR(__xludf.DUMMYFUNCTION("""COMPUTED_VALUE"""),"ACTIVE JUDGES NON BJCP")</f>
        <v>ACTIVE JUDGES NON BJCP</v>
      </c>
      <c r="C24" s="12">
        <f>IFERROR(__xludf.DUMMYFUNCTION("""COMPUTED_VALUE"""),2.0)</f>
        <v>2</v>
      </c>
      <c r="D24" s="12" t="str">
        <f>IFERROR(__xludf.DUMMYFUNCTION("""COMPUTED_VALUE"""),"Angi")</f>
        <v>Angi</v>
      </c>
      <c r="E24" s="12" t="str">
        <f>IFERROR(__xludf.DUMMYFUNCTION("""COMPUTED_VALUE"""),"Thomas")</f>
        <v>Thomas</v>
      </c>
      <c r="F24" s="12" t="str">
        <f>IFERROR(__xludf.DUMMYFUNCTION("""COMPUTED_VALUE"""),"3001 Communication Parkway Apt 2112")</f>
        <v>3001 Communication Parkway Apt 2112</v>
      </c>
      <c r="G24" s="12" t="str">
        <f>IFERROR(__xludf.DUMMYFUNCTION("""COMPUTED_VALUE"""),"Plano")</f>
        <v>Plano</v>
      </c>
      <c r="H24" s="12"/>
      <c r="I24" s="12" t="str">
        <f>IFERROR(__xludf.DUMMYFUNCTION("""COMPUTED_VALUE"""),"angi.thomas@yahoo.com")</f>
        <v>angi.thomas@yahoo.com</v>
      </c>
      <c r="J24" s="13">
        <f>IFERROR(__xludf.DUMMYFUNCTION("""COMPUTED_VALUE"""),1.0)</f>
        <v>1</v>
      </c>
      <c r="K24" s="12">
        <f>IFERROR(__xludf.DUMMYFUNCTION("""COMPUTED_VALUE"""),6.0)</f>
        <v>6</v>
      </c>
    </row>
    <row r="25">
      <c r="A25" s="12" t="str">
        <f>IFERROR(__xludf.DUMMYFUNCTION("""COMPUTED_VALUE"""),"ACTIVE")</f>
        <v>ACTIVE</v>
      </c>
      <c r="B25" s="12" t="str">
        <f>IFERROR(__xludf.DUMMYFUNCTION("""COMPUTED_VALUE"""),"ACTIVE JUDGES NON BJCP")</f>
        <v>ACTIVE JUDGES NON BJCP</v>
      </c>
      <c r="C25" s="12">
        <f>IFERROR(__xludf.DUMMYFUNCTION("""COMPUTED_VALUE"""),2.0)</f>
        <v>2</v>
      </c>
      <c r="D25" s="12" t="str">
        <f>IFERROR(__xludf.DUMMYFUNCTION("""COMPUTED_VALUE"""),"Harry")</f>
        <v>Harry</v>
      </c>
      <c r="E25" s="12" t="str">
        <f>IFERROR(__xludf.DUMMYFUNCTION("""COMPUTED_VALUE"""),"Anderson")</f>
        <v>Anderson</v>
      </c>
      <c r="F25" s="12" t="str">
        <f>IFERROR(__xludf.DUMMYFUNCTION("""COMPUTED_VALUE"""),"3101 Oak Hollow Dr")</f>
        <v>3101 Oak Hollow Dr</v>
      </c>
      <c r="G25" s="12" t="str">
        <f>IFERROR(__xludf.DUMMYFUNCTION("""COMPUTED_VALUE"""),"Plano")</f>
        <v>Plano</v>
      </c>
      <c r="H25" s="12"/>
      <c r="I25" s="12" t="str">
        <f>IFERROR(__xludf.DUMMYFUNCTION("""COMPUTED_VALUE"""),"harryanderson3@verizon.net")</f>
        <v>harryanderson3@verizon.net</v>
      </c>
      <c r="J25" s="13">
        <f>IFERROR(__xludf.DUMMYFUNCTION("""COMPUTED_VALUE"""),4.0)</f>
        <v>4</v>
      </c>
      <c r="K25" s="12">
        <f>IFERROR(__xludf.DUMMYFUNCTION("""COMPUTED_VALUE"""),7.0)</f>
        <v>7</v>
      </c>
    </row>
    <row r="26">
      <c r="A26" s="12" t="str">
        <f>IFERROR(__xludf.DUMMYFUNCTION("""COMPUTED_VALUE"""),"ACTIVE")</f>
        <v>ACTIVE</v>
      </c>
      <c r="B26" s="12" t="str">
        <f>IFERROR(__xludf.DUMMYFUNCTION("""COMPUTED_VALUE"""),"ACTIVE JUDGES CERTIFIED ")</f>
        <v>ACTIVE JUDGES CERTIFIED </v>
      </c>
      <c r="C26" s="12">
        <f>IFERROR(__xludf.DUMMYFUNCTION("""COMPUTED_VALUE"""),1.0)</f>
        <v>1</v>
      </c>
      <c r="D26" s="12" t="str">
        <f>IFERROR(__xludf.DUMMYFUNCTION("""COMPUTED_VALUE"""),"Walter")</f>
        <v>Walter</v>
      </c>
      <c r="E26" s="12" t="str">
        <f>IFERROR(__xludf.DUMMYFUNCTION("""COMPUTED_VALUE"""),"Hodges")</f>
        <v>Hodges</v>
      </c>
      <c r="F26" s="12" t="str">
        <f>IFERROR(__xludf.DUMMYFUNCTION("""COMPUTED_VALUE"""),"2203 Le Mans Dr")</f>
        <v>2203 Le Mans Dr</v>
      </c>
      <c r="G26" s="12" t="str">
        <f>IFERROR(__xludf.DUMMYFUNCTION("""COMPUTED_VALUE"""),"Carrollton")</f>
        <v>Carrollton</v>
      </c>
      <c r="H26" s="12" t="str">
        <f>IFERROR(__xludf.DUMMYFUNCTION("""COMPUTED_VALUE"""),"214-244-2144")</f>
        <v>214-244-2144</v>
      </c>
      <c r="I26" s="12" t="str">
        <f>IFERROR(__xludf.DUMMYFUNCTION("""COMPUTED_VALUE"""),"wally712@verizon.net")</f>
        <v>wally712@verizon.net</v>
      </c>
      <c r="J26" s="13">
        <f>IFERROR(__xludf.DUMMYFUNCTION("""COMPUTED_VALUE"""),6.0)</f>
        <v>6</v>
      </c>
      <c r="K26" s="12">
        <f>IFERROR(__xludf.DUMMYFUNCTION("""COMPUTED_VALUE"""),7.0)</f>
        <v>7</v>
      </c>
    </row>
    <row r="27">
      <c r="A27" s="12" t="str">
        <f>IFERROR(__xludf.DUMMYFUNCTION("""COMPUTED_VALUE"""),"ACTIVE")</f>
        <v>ACTIVE</v>
      </c>
      <c r="B27" s="12" t="str">
        <f>IFERROR(__xludf.DUMMYFUNCTION("""COMPUTED_VALUE"""),"ACTIVE JUDGES NON BJCP")</f>
        <v>ACTIVE JUDGES NON BJCP</v>
      </c>
      <c r="C27" s="12">
        <f>IFERROR(__xludf.DUMMYFUNCTION("""COMPUTED_VALUE"""),2.0)</f>
        <v>2</v>
      </c>
      <c r="D27" s="12" t="str">
        <f>IFERROR(__xludf.DUMMYFUNCTION("""COMPUTED_VALUE"""),"Anupam")</f>
        <v>Anupam</v>
      </c>
      <c r="E27" s="12" t="str">
        <f>IFERROR(__xludf.DUMMYFUNCTION("""COMPUTED_VALUE"""),"Singhal")</f>
        <v>Singhal</v>
      </c>
      <c r="F27" s="12" t="str">
        <f>IFERROR(__xludf.DUMMYFUNCTION("""COMPUTED_VALUE"""),"4625 Willow Lane")</f>
        <v>4625 Willow Lane</v>
      </c>
      <c r="G27" s="12" t="str">
        <f>IFERROR(__xludf.DUMMYFUNCTION("""COMPUTED_VALUE"""),"Dallas")</f>
        <v>Dallas</v>
      </c>
      <c r="H27" s="12" t="str">
        <f>IFERROR(__xludf.DUMMYFUNCTION("""COMPUTED_VALUE"""),"(214) 724-7927")</f>
        <v>(214) 724-7927</v>
      </c>
      <c r="I27" s="12" t="str">
        <f>IFERROR(__xludf.DUMMYFUNCTION("""COMPUTED_VALUE"""),"nupe.singhal@gmail.com")</f>
        <v>nupe.singhal@gmail.com</v>
      </c>
      <c r="J27" s="13">
        <f>IFERROR(__xludf.DUMMYFUNCTION("""COMPUTED_VALUE"""),1.0)</f>
        <v>1</v>
      </c>
      <c r="K27" s="12">
        <f>IFERROR(__xludf.DUMMYFUNCTION("""COMPUTED_VALUE"""),7.0)</f>
        <v>7</v>
      </c>
    </row>
    <row r="28">
      <c r="A28" s="12" t="str">
        <f>IFERROR(__xludf.DUMMYFUNCTION("""COMPUTED_VALUE"""),"ACTIVE")</f>
        <v>ACTIVE</v>
      </c>
      <c r="B28" s="12" t="str">
        <f>IFERROR(__xludf.DUMMYFUNCTION("""COMPUTED_VALUE"""),"ACTIVE JUDGES CERTIFIED ")</f>
        <v>ACTIVE JUDGES CERTIFIED </v>
      </c>
      <c r="C28" s="12">
        <f>IFERROR(__xludf.DUMMYFUNCTION("""COMPUTED_VALUE"""),1.0)</f>
        <v>1</v>
      </c>
      <c r="D28" s="12" t="str">
        <f>IFERROR(__xludf.DUMMYFUNCTION("""COMPUTED_VALUE"""),"Mike")</f>
        <v>Mike</v>
      </c>
      <c r="E28" s="12" t="str">
        <f>IFERROR(__xludf.DUMMYFUNCTION("""COMPUTED_VALUE"""),"Grover")</f>
        <v>Grover</v>
      </c>
      <c r="F28" s="12" t="str">
        <f>IFERROR(__xludf.DUMMYFUNCTION("""COMPUTED_VALUE"""),"1939 Castille Dr")</f>
        <v>1939 Castille Dr</v>
      </c>
      <c r="G28" s="12" t="str">
        <f>IFERROR(__xludf.DUMMYFUNCTION("""COMPUTED_VALUE"""),"Carrollton")</f>
        <v>Carrollton</v>
      </c>
      <c r="H28" s="12" t="str">
        <f>IFERROR(__xludf.DUMMYFUNCTION("""COMPUTED_VALUE"""),"(817) 705-5245")</f>
        <v>(817) 705-5245</v>
      </c>
      <c r="I28" s="12" t="str">
        <f>IFERROR(__xludf.DUMMYFUNCTION("""COMPUTED_VALUE"""),"mikeggrover@aol.com")</f>
        <v>mikeggrover@aol.com</v>
      </c>
      <c r="J28" s="13">
        <f>IFERROR(__xludf.DUMMYFUNCTION("""COMPUTED_VALUE"""),9.0)</f>
        <v>9</v>
      </c>
      <c r="K28" s="12">
        <f>IFERROR(__xludf.DUMMYFUNCTION("""COMPUTED_VALUE"""),8.0)</f>
        <v>8</v>
      </c>
    </row>
    <row r="29">
      <c r="A29" s="12" t="str">
        <f>IFERROR(__xludf.DUMMYFUNCTION("""COMPUTED_VALUE"""),"ACTIVE")</f>
        <v>ACTIVE</v>
      </c>
      <c r="B29" s="12" t="str">
        <f>IFERROR(__xludf.DUMMYFUNCTION("""COMPUTED_VALUE"""),"ACTIVE JUDGES NON BJCP")</f>
        <v>ACTIVE JUDGES NON BJCP</v>
      </c>
      <c r="C29" s="12">
        <f>IFERROR(__xludf.DUMMYFUNCTION("""COMPUTED_VALUE"""),2.0)</f>
        <v>2</v>
      </c>
      <c r="D29" s="12" t="str">
        <f>IFERROR(__xludf.DUMMYFUNCTION("""COMPUTED_VALUE"""),"William")</f>
        <v>William</v>
      </c>
      <c r="E29" s="12" t="str">
        <f>IFERROR(__xludf.DUMMYFUNCTION("""COMPUTED_VALUE"""),"Lawrence")</f>
        <v>Lawrence</v>
      </c>
      <c r="F29" s="12" t="str">
        <f>IFERROR(__xludf.DUMMYFUNCTION("""COMPUTED_VALUE"""),"2008 Glen Meadow Ct")</f>
        <v>2008 Glen Meadow Ct</v>
      </c>
      <c r="G29" s="12" t="str">
        <f>IFERROR(__xludf.DUMMYFUNCTION("""COMPUTED_VALUE"""),"Richardson")</f>
        <v>Richardson</v>
      </c>
      <c r="H29" s="12" t="str">
        <f>IFERROR(__xludf.DUMMYFUNCTION("""COMPUTED_VALUE"""),"1(214) 632-8624")</f>
        <v>1(214) 632-8624</v>
      </c>
      <c r="I29" s="12" t="str">
        <f>IFERROR(__xludf.DUMMYFUNCTION("""COMPUTED_VALUE"""),"william.john.lawrence55@gmail.com")</f>
        <v>william.john.lawrence55@gmail.com</v>
      </c>
      <c r="J29" s="13">
        <f>IFERROR(__xludf.DUMMYFUNCTION("""COMPUTED_VALUE"""),6.0)</f>
        <v>6</v>
      </c>
      <c r="K29" s="12">
        <f>IFERROR(__xludf.DUMMYFUNCTION("""COMPUTED_VALUE"""),8.0)</f>
        <v>8</v>
      </c>
    </row>
    <row r="30">
      <c r="A30" s="12" t="str">
        <f>IFERROR(__xludf.DUMMYFUNCTION("""COMPUTED_VALUE"""),"ACTIVE")</f>
        <v>ACTIVE</v>
      </c>
      <c r="B30" s="12" t="str">
        <f>IFERROR(__xludf.DUMMYFUNCTION("""COMPUTED_VALUE"""),"ACTIVE JUDGES NON BJCP")</f>
        <v>ACTIVE JUDGES NON BJCP</v>
      </c>
      <c r="C30" s="12">
        <f>IFERROR(__xludf.DUMMYFUNCTION("""COMPUTED_VALUE"""),2.0)</f>
        <v>2</v>
      </c>
      <c r="D30" s="12" t="str">
        <f>IFERROR(__xludf.DUMMYFUNCTION("""COMPUTED_VALUE"""),"Jonathan")</f>
        <v>Jonathan</v>
      </c>
      <c r="E30" s="12" t="str">
        <f>IFERROR(__xludf.DUMMYFUNCTION("""COMPUTED_VALUE"""),"Barrows")</f>
        <v>Barrows</v>
      </c>
      <c r="F30" s="12" t="str">
        <f>IFERROR(__xludf.DUMMYFUNCTION("""COMPUTED_VALUE"""),"2122 El Dorado Way")</f>
        <v>2122 El Dorado Way</v>
      </c>
      <c r="G30" s="12" t="str">
        <f>IFERROR(__xludf.DUMMYFUNCTION("""COMPUTED_VALUE"""),"Carrollton")</f>
        <v>Carrollton</v>
      </c>
      <c r="H30" s="12"/>
      <c r="I30" s="12" t="str">
        <f>IFERROR(__xludf.DUMMYFUNCTION("""COMPUTED_VALUE"""),"slackerlack@gmail.com")</f>
        <v>slackerlack@gmail.com</v>
      </c>
      <c r="J30" s="13">
        <f>IFERROR(__xludf.DUMMYFUNCTION("""COMPUTED_VALUE"""),1.0)</f>
        <v>1</v>
      </c>
      <c r="K30" s="12">
        <f>IFERROR(__xludf.DUMMYFUNCTION("""COMPUTED_VALUE"""),9.0)</f>
        <v>9</v>
      </c>
    </row>
    <row r="31">
      <c r="A31" s="13" t="str">
        <f>IFERROR(__xludf.DUMMYFUNCTION("""COMPUTED_VALUE"""),"ACTIVE")</f>
        <v>ACTIVE</v>
      </c>
      <c r="B31" s="13" t="str">
        <f>IFERROR(__xludf.DUMMYFUNCTION("""COMPUTED_VALUE"""),"ACTIVE JUDGES NON BJCP")</f>
        <v>ACTIVE JUDGES NON BJCP</v>
      </c>
      <c r="C31" s="13">
        <f>IFERROR(__xludf.DUMMYFUNCTION("""COMPUTED_VALUE"""),2.0)</f>
        <v>2</v>
      </c>
      <c r="D31" s="13" t="str">
        <f>IFERROR(__xludf.DUMMYFUNCTION("""COMPUTED_VALUE"""),"Kimberly")</f>
        <v>Kimberly</v>
      </c>
      <c r="E31" s="13" t="str">
        <f>IFERROR(__xludf.DUMMYFUNCTION("""COMPUTED_VALUE"""),"Truesdell")</f>
        <v>Truesdell</v>
      </c>
      <c r="F31" s="13" t="str">
        <f>IFERROR(__xludf.DUMMYFUNCTION("""COMPUTED_VALUE"""),"2103 Brentwood Ln")</f>
        <v>2103 Brentwood Ln</v>
      </c>
      <c r="G31" s="13" t="str">
        <f>IFERROR(__xludf.DUMMYFUNCTION("""COMPUTED_VALUE"""),"Carrollton")</f>
        <v>Carrollton</v>
      </c>
      <c r="H31" s="13"/>
      <c r="I31" s="13" t="str">
        <f>IFERROR(__xludf.DUMMYFUNCTION("""COMPUTED_VALUE"""),"toopotato4u@yahoo.com")</f>
        <v>toopotato4u@yahoo.com</v>
      </c>
      <c r="J31" s="13">
        <f>IFERROR(__xludf.DUMMYFUNCTION("""COMPUTED_VALUE"""),8.0)</f>
        <v>8</v>
      </c>
      <c r="K31" s="13">
        <f>IFERROR(__xludf.DUMMYFUNCTION("""COMPUTED_VALUE"""),9.0)</f>
        <v>9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2" t="str">
        <f>IFERROR(__xludf.DUMMYFUNCTION("""COMPUTED_VALUE"""),"ACTIVE")</f>
        <v>ACTIVE</v>
      </c>
      <c r="B32" s="12" t="str">
        <f>IFERROR(__xludf.DUMMYFUNCTION("""COMPUTED_VALUE"""),"ACTIVE JUDGES NON BJCP")</f>
        <v>ACTIVE JUDGES NON BJCP</v>
      </c>
      <c r="C32" s="12">
        <f>IFERROR(__xludf.DUMMYFUNCTION("""COMPUTED_VALUE"""),2.0)</f>
        <v>2</v>
      </c>
      <c r="D32" s="12" t="str">
        <f>IFERROR(__xludf.DUMMYFUNCTION("""COMPUTED_VALUE"""),"Bryce")</f>
        <v>Bryce</v>
      </c>
      <c r="E32" s="12" t="str">
        <f>IFERROR(__xludf.DUMMYFUNCTION("""COMPUTED_VALUE"""),"DeShazo")</f>
        <v>DeShazo</v>
      </c>
      <c r="F32" s="12" t="str">
        <f>IFERROR(__xludf.DUMMYFUNCTION("""COMPUTED_VALUE"""),"1510 Randolph St #206")</f>
        <v>1510 Randolph St #206</v>
      </c>
      <c r="G32" s="12" t="str">
        <f>IFERROR(__xludf.DUMMYFUNCTION("""COMPUTED_VALUE"""),"Carrolton")</f>
        <v>Carrolton</v>
      </c>
      <c r="H32" s="12"/>
      <c r="I32" s="12" t="str">
        <f>IFERROR(__xludf.DUMMYFUNCTION("""COMPUTED_VALUE"""),"foxandravenmead@gmail.com")</f>
        <v>foxandravenmead@gmail.com</v>
      </c>
      <c r="J32" s="13">
        <f>IFERROR(__xludf.DUMMYFUNCTION("""COMPUTED_VALUE"""),1.0)</f>
        <v>1</v>
      </c>
      <c r="K32" s="12">
        <f>IFERROR(__xludf.DUMMYFUNCTION("""COMPUTED_VALUE"""),12.0)</f>
        <v>12</v>
      </c>
    </row>
    <row r="33">
      <c r="A33" s="12" t="str">
        <f>IFERROR(__xludf.DUMMYFUNCTION("""COMPUTED_VALUE"""),"ACTIVE")</f>
        <v>ACTIVE</v>
      </c>
      <c r="B33" s="12" t="str">
        <f>IFERROR(__xludf.DUMMYFUNCTION("""COMPUTED_VALUE"""),"ACTIVE JUDGES NON BJCP")</f>
        <v>ACTIVE JUDGES NON BJCP</v>
      </c>
      <c r="C33" s="12">
        <f>IFERROR(__xludf.DUMMYFUNCTION("""COMPUTED_VALUE"""),2.0)</f>
        <v>2</v>
      </c>
      <c r="D33" s="12" t="str">
        <f>IFERROR(__xludf.DUMMYFUNCTION("""COMPUTED_VALUE"""),"Amanda")</f>
        <v>Amanda</v>
      </c>
      <c r="E33" s="12" t="str">
        <f>IFERROR(__xludf.DUMMYFUNCTION("""COMPUTED_VALUE"""),"Garland")</f>
        <v>Garland</v>
      </c>
      <c r="F33" s="12" t="str">
        <f>IFERROR(__xludf.DUMMYFUNCTION("""COMPUTED_VALUE"""),"3122 Meadowood Drive")</f>
        <v>3122 Meadowood Drive</v>
      </c>
      <c r="G33" s="12" t="str">
        <f>IFERROR(__xludf.DUMMYFUNCTION("""COMPUTED_VALUE"""),"Garland")</f>
        <v>Garland</v>
      </c>
      <c r="H33" s="12"/>
      <c r="I33" s="12" t="str">
        <f>IFERROR(__xludf.DUMMYFUNCTION("""COMPUTED_VALUE"""),"amandagarland85@gmail.com")</f>
        <v>amandagarland85@gmail.com</v>
      </c>
      <c r="J33" s="12">
        <f>IFERROR(__xludf.DUMMYFUNCTION("""COMPUTED_VALUE"""),2.0)</f>
        <v>2</v>
      </c>
      <c r="K33" s="12">
        <f>IFERROR(__xludf.DUMMYFUNCTION("""COMPUTED_VALUE"""),13.0)</f>
        <v>13</v>
      </c>
    </row>
    <row r="34">
      <c r="A34" s="12" t="str">
        <f>IFERROR(__xludf.DUMMYFUNCTION("""COMPUTED_VALUE"""),"ACTIVE")</f>
        <v>ACTIVE</v>
      </c>
      <c r="B34" s="12" t="str">
        <f>IFERROR(__xludf.DUMMYFUNCTION("""COMPUTED_VALUE"""),"ACTIVE JUDGES CERTIFIED ")</f>
        <v>ACTIVE JUDGES CERTIFIED </v>
      </c>
      <c r="C34" s="12">
        <f>IFERROR(__xludf.DUMMYFUNCTION("""COMPUTED_VALUE"""),1.0)</f>
        <v>1</v>
      </c>
      <c r="D34" s="12" t="str">
        <f>IFERROR(__xludf.DUMMYFUNCTION("""COMPUTED_VALUE"""),"Steve")</f>
        <v>Steve</v>
      </c>
      <c r="E34" s="12" t="str">
        <f>IFERROR(__xludf.DUMMYFUNCTION("""COMPUTED_VALUE"""),"Littel")</f>
        <v>Littel</v>
      </c>
      <c r="F34" s="12" t="str">
        <f>IFERROR(__xludf.DUMMYFUNCTION("""COMPUTED_VALUE"""),"8009 Greensboro Dr")</f>
        <v>8009 Greensboro Dr</v>
      </c>
      <c r="G34" s="12" t="str">
        <f>IFERROR(__xludf.DUMMYFUNCTION("""COMPUTED_VALUE"""),"Plano")</f>
        <v>Plano</v>
      </c>
      <c r="H34" s="12" t="str">
        <f>IFERROR(__xludf.DUMMYFUNCTION("""COMPUTED_VALUE"""),"214-973-1058")</f>
        <v>214-973-1058</v>
      </c>
      <c r="I34" s="12" t="str">
        <f>IFERROR(__xludf.DUMMYFUNCTION("""COMPUTED_VALUE"""),"slittel@verizon.net")</f>
        <v>slittel@verizon.net</v>
      </c>
      <c r="J34" s="12">
        <f>IFERROR(__xludf.DUMMYFUNCTION("""COMPUTED_VALUE"""),4.0)</f>
        <v>4</v>
      </c>
      <c r="K34" s="12">
        <f>IFERROR(__xludf.DUMMYFUNCTION("""COMPUTED_VALUE"""),13.0)</f>
        <v>13</v>
      </c>
    </row>
    <row r="35">
      <c r="A35" s="12" t="str">
        <f>IFERROR(__xludf.DUMMYFUNCTION("""COMPUTED_VALUE"""),"ACTIVE")</f>
        <v>ACTIVE</v>
      </c>
      <c r="B35" s="12" t="str">
        <f>IFERROR(__xludf.DUMMYFUNCTION("""COMPUTED_VALUE"""),"ACTIVE JUDGES NON BJCP")</f>
        <v>ACTIVE JUDGES NON BJCP</v>
      </c>
      <c r="C35" s="12">
        <f>IFERROR(__xludf.DUMMYFUNCTION("""COMPUTED_VALUE"""),2.0)</f>
        <v>2</v>
      </c>
      <c r="D35" s="12" t="str">
        <f>IFERROR(__xludf.DUMMYFUNCTION("""COMPUTED_VALUE"""),"John")</f>
        <v>John</v>
      </c>
      <c r="E35" s="12" t="str">
        <f>IFERROR(__xludf.DUMMYFUNCTION("""COMPUTED_VALUE"""),"Sutton")</f>
        <v>Sutton</v>
      </c>
      <c r="F35" s="12" t="str">
        <f>IFERROR(__xludf.DUMMYFUNCTION("""COMPUTED_VALUE"""),"131 Windsor Drive")</f>
        <v>131 Windsor Drive</v>
      </c>
      <c r="G35" s="12" t="str">
        <f>IFERROR(__xludf.DUMMYFUNCTION("""COMPUTED_VALUE"""),"Murphy")</f>
        <v>Murphy</v>
      </c>
      <c r="H35" s="12" t="str">
        <f>IFERROR(__xludf.DUMMYFUNCTION("""COMPUTED_VALUE"""),"(972) 757-4469")</f>
        <v>(972) 757-4469</v>
      </c>
      <c r="I35" s="12" t="str">
        <f>IFERROR(__xludf.DUMMYFUNCTION("""COMPUTED_VALUE"""),"jrsutton1@gmail.com")</f>
        <v>jrsutton1@gmail.com</v>
      </c>
      <c r="J35" s="12">
        <f>IFERROR(__xludf.DUMMYFUNCTION("""COMPUTED_VALUE"""),3.0)</f>
        <v>3</v>
      </c>
      <c r="K35" s="12">
        <f>IFERROR(__xludf.DUMMYFUNCTION("""COMPUTED_VALUE"""),13.0)</f>
        <v>13</v>
      </c>
    </row>
    <row r="36">
      <c r="A36" s="12" t="str">
        <f>IFERROR(__xludf.DUMMYFUNCTION("""COMPUTED_VALUE"""),"ACTIVE")</f>
        <v>ACTIVE</v>
      </c>
      <c r="B36" s="12" t="str">
        <f>IFERROR(__xludf.DUMMYFUNCTION("""COMPUTED_VALUE"""),"ACTIVE JUDGES NON BJCP")</f>
        <v>ACTIVE JUDGES NON BJCP</v>
      </c>
      <c r="C36" s="12">
        <f>IFERROR(__xludf.DUMMYFUNCTION("""COMPUTED_VALUE"""),2.0)</f>
        <v>2</v>
      </c>
      <c r="D36" s="12" t="str">
        <f>IFERROR(__xludf.DUMMYFUNCTION("""COMPUTED_VALUE"""),"Tony")</f>
        <v>Tony</v>
      </c>
      <c r="E36" s="12" t="str">
        <f>IFERROR(__xludf.DUMMYFUNCTION("""COMPUTED_VALUE"""),"Silveira")</f>
        <v>Silveira</v>
      </c>
      <c r="F36" s="12" t="str">
        <f>IFERROR(__xludf.DUMMYFUNCTION("""COMPUTED_VALUE"""),"6295 Stockwell Dr")</f>
        <v>6295 Stockwell Dr</v>
      </c>
      <c r="G36" s="12" t="str">
        <f>IFERROR(__xludf.DUMMYFUNCTION("""COMPUTED_VALUE"""),"Frisco")</f>
        <v>Frisco</v>
      </c>
      <c r="H36" s="12"/>
      <c r="I36" s="12" t="str">
        <f>IFERROR(__xludf.DUMMYFUNCTION("""COMPUTED_VALUE"""),"2ndwindbrew@gmail.com")</f>
        <v>2ndwindbrew@gmail.com</v>
      </c>
      <c r="J36" s="12">
        <f>IFERROR(__xludf.DUMMYFUNCTION("""COMPUTED_VALUE"""),3.0)</f>
        <v>3</v>
      </c>
      <c r="K36" s="12">
        <f>IFERROR(__xludf.DUMMYFUNCTION("""COMPUTED_VALUE"""),14.0)</f>
        <v>14</v>
      </c>
    </row>
    <row r="37">
      <c r="A37" s="12" t="str">
        <f>IFERROR(__xludf.DUMMYFUNCTION("""COMPUTED_VALUE"""),"ACTIVE")</f>
        <v>ACTIVE</v>
      </c>
      <c r="B37" s="12" t="str">
        <f>IFERROR(__xludf.DUMMYFUNCTION("""COMPUTED_VALUE"""),"ACTIVE JUDGES CERTIFIED ")</f>
        <v>ACTIVE JUDGES CERTIFIED </v>
      </c>
      <c r="C37" s="12">
        <f>IFERROR(__xludf.DUMMYFUNCTION("""COMPUTED_VALUE"""),1.0)</f>
        <v>1</v>
      </c>
      <c r="D37" s="12" t="str">
        <f>IFERROR(__xludf.DUMMYFUNCTION("""COMPUTED_VALUE"""),"Terry")</f>
        <v>Terry</v>
      </c>
      <c r="E37" s="12" t="str">
        <f>IFERROR(__xludf.DUMMYFUNCTION("""COMPUTED_VALUE"""),"Olinger")</f>
        <v>Olinger</v>
      </c>
      <c r="F37" s="12" t="str">
        <f>IFERROR(__xludf.DUMMYFUNCTION("""COMPUTED_VALUE"""),"1309 Lombardy Way")</f>
        <v>1309 Lombardy Way</v>
      </c>
      <c r="G37" s="12" t="str">
        <f>IFERROR(__xludf.DUMMYFUNCTION("""COMPUTED_VALUE"""),"Allen")</f>
        <v>Allen</v>
      </c>
      <c r="H37" s="12" t="str">
        <f>IFERROR(__xludf.DUMMYFUNCTION("""COMPUTED_VALUE"""),"214-310-2494")</f>
        <v>214-310-2494</v>
      </c>
      <c r="I37" s="12" t="str">
        <f>IFERROR(__xludf.DUMMYFUNCTION("""COMPUTED_VALUE"""),"terryolinger85@gmail.com")</f>
        <v>terryolinger85@gmail.com</v>
      </c>
      <c r="J37" s="12">
        <f>IFERROR(__xludf.DUMMYFUNCTION("""COMPUTED_VALUE"""),6.0)</f>
        <v>6</v>
      </c>
      <c r="K37" s="12">
        <f>IFERROR(__xludf.DUMMYFUNCTION("""COMPUTED_VALUE"""),15.0)</f>
        <v>15</v>
      </c>
    </row>
    <row r="38">
      <c r="A38" s="12" t="str">
        <f>IFERROR(__xludf.DUMMYFUNCTION("""COMPUTED_VALUE"""),"ACTIVE")</f>
        <v>ACTIVE</v>
      </c>
      <c r="B38" s="12" t="str">
        <f>IFERROR(__xludf.DUMMYFUNCTION("""COMPUTED_VALUE"""),"ACTIVE JUDGES NON BJCP")</f>
        <v>ACTIVE JUDGES NON BJCP</v>
      </c>
      <c r="C38" s="12">
        <f>IFERROR(__xludf.DUMMYFUNCTION("""COMPUTED_VALUE"""),2.0)</f>
        <v>2</v>
      </c>
      <c r="D38" s="12" t="str">
        <f>IFERROR(__xludf.DUMMYFUNCTION("""COMPUTED_VALUE"""),"Michael")</f>
        <v>Michael</v>
      </c>
      <c r="E38" s="12" t="str">
        <f>IFERROR(__xludf.DUMMYFUNCTION("""COMPUTED_VALUE"""),"Dwyer")</f>
        <v>Dwyer</v>
      </c>
      <c r="F38" s="12" t="str">
        <f>IFERROR(__xludf.DUMMYFUNCTION("""COMPUTED_VALUE"""),"3800 Pebble Beach Ct")</f>
        <v>3800 Pebble Beach Ct</v>
      </c>
      <c r="G38" s="12" t="str">
        <f>IFERROR(__xludf.DUMMYFUNCTION("""COMPUTED_VALUE"""),"The Colony")</f>
        <v>The Colony</v>
      </c>
      <c r="H38" s="12"/>
      <c r="I38" s="12" t="str">
        <f>IFERROR(__xludf.DUMMYFUNCTION("""COMPUTED_VALUE"""),"mydwyer@gmail.com")</f>
        <v>mydwyer@gmail.com</v>
      </c>
      <c r="J38" s="12">
        <f>IFERROR(__xludf.DUMMYFUNCTION("""COMPUTED_VALUE"""),1.0)</f>
        <v>1</v>
      </c>
      <c r="K38" s="12">
        <f>IFERROR(__xludf.DUMMYFUNCTION("""COMPUTED_VALUE"""),16.0)</f>
        <v>16</v>
      </c>
    </row>
    <row r="39">
      <c r="A39" s="12" t="str">
        <f>IFERROR(__xludf.DUMMYFUNCTION("""COMPUTED_VALUE"""),"ACTIVE")</f>
        <v>ACTIVE</v>
      </c>
      <c r="B39" s="12" t="str">
        <f>IFERROR(__xludf.DUMMYFUNCTION("""COMPUTED_VALUE"""),"ACTIVE JUDGES NATIONAL")</f>
        <v>ACTIVE JUDGES NATIONAL</v>
      </c>
      <c r="C39" s="12">
        <f>IFERROR(__xludf.DUMMYFUNCTION("""COMPUTED_VALUE"""),1.0)</f>
        <v>1</v>
      </c>
      <c r="D39" s="12" t="str">
        <f>IFERROR(__xludf.DUMMYFUNCTION("""COMPUTED_VALUE"""),"Erich")</f>
        <v>Erich</v>
      </c>
      <c r="E39" s="12" t="str">
        <f>IFERROR(__xludf.DUMMYFUNCTION("""COMPUTED_VALUE"""),"Gens")</f>
        <v>Gens</v>
      </c>
      <c r="F39" s="12" t="str">
        <f>IFERROR(__xludf.DUMMYFUNCTION("""COMPUTED_VALUE"""),"2022 Stonemont Ct")</f>
        <v>2022 Stonemont Ct</v>
      </c>
      <c r="G39" s="12" t="str">
        <f>IFERROR(__xludf.DUMMYFUNCTION("""COMPUTED_VALUE"""),"Allen")</f>
        <v>Allen</v>
      </c>
      <c r="H39" s="12" t="str">
        <f>IFERROR(__xludf.DUMMYFUNCTION("""COMPUTED_VALUE"""),"469-667-3558")</f>
        <v>469-667-3558</v>
      </c>
      <c r="I39" s="12" t="str">
        <f>IFERROR(__xludf.DUMMYFUNCTION("""COMPUTED_VALUE"""),"erich.gens@att.net")</f>
        <v>erich.gens@att.net</v>
      </c>
      <c r="J39" s="12">
        <f>IFERROR(__xludf.DUMMYFUNCTION("""COMPUTED_VALUE"""),6.0)</f>
        <v>6</v>
      </c>
      <c r="K39" s="12">
        <f>IFERROR(__xludf.DUMMYFUNCTION("""COMPUTED_VALUE"""),16.0)</f>
        <v>16</v>
      </c>
    </row>
    <row r="40">
      <c r="A40" s="12" t="str">
        <f>IFERROR(__xludf.DUMMYFUNCTION("""COMPUTED_VALUE"""),"ACTIVE")</f>
        <v>ACTIVE</v>
      </c>
      <c r="B40" s="12" t="str">
        <f>IFERROR(__xludf.DUMMYFUNCTION("""COMPUTED_VALUE"""),"ACTIVE JUDGES NON BJCP")</f>
        <v>ACTIVE JUDGES NON BJCP</v>
      </c>
      <c r="C40" s="12">
        <f>IFERROR(__xludf.DUMMYFUNCTION("""COMPUTED_VALUE"""),2.0)</f>
        <v>2</v>
      </c>
      <c r="D40" s="12" t="str">
        <f>IFERROR(__xludf.DUMMYFUNCTION("""COMPUTED_VALUE"""),"Jorge")</f>
        <v>Jorge</v>
      </c>
      <c r="E40" s="12" t="str">
        <f>IFERROR(__xludf.DUMMYFUNCTION("""COMPUTED_VALUE"""),"Hernandez")</f>
        <v>Hernandez</v>
      </c>
      <c r="F40" s="12" t="str">
        <f>IFERROR(__xludf.DUMMYFUNCTION("""COMPUTED_VALUE"""),"9607 Custer Rd Apt 716")</f>
        <v>9607 Custer Rd Apt 716</v>
      </c>
      <c r="G40" s="12" t="str">
        <f>IFERROR(__xludf.DUMMYFUNCTION("""COMPUTED_VALUE"""),"Plano")</f>
        <v>Plano</v>
      </c>
      <c r="H40" s="12"/>
      <c r="I40" s="12" t="str">
        <f>IFERROR(__xludf.DUMMYFUNCTION("""COMPUTED_VALUE"""),"jmhern2019@gmail.com")</f>
        <v>jmhern2019@gmail.com</v>
      </c>
      <c r="J40" s="12">
        <f>IFERROR(__xludf.DUMMYFUNCTION("""COMPUTED_VALUE"""),4.0)</f>
        <v>4</v>
      </c>
      <c r="K40" s="12">
        <f>IFERROR(__xludf.DUMMYFUNCTION("""COMPUTED_VALUE"""),16.0)</f>
        <v>16</v>
      </c>
    </row>
    <row r="41">
      <c r="A41" s="12" t="str">
        <f>IFERROR(__xludf.DUMMYFUNCTION("""COMPUTED_VALUE"""),"ACTIVE")</f>
        <v>ACTIVE</v>
      </c>
      <c r="B41" s="12" t="str">
        <f>IFERROR(__xludf.DUMMYFUNCTION("""COMPUTED_VALUE"""),"ACTIVE JUDGES NON BJCP")</f>
        <v>ACTIVE JUDGES NON BJCP</v>
      </c>
      <c r="C41" s="12">
        <f>IFERROR(__xludf.DUMMYFUNCTION("""COMPUTED_VALUE"""),2.0)</f>
        <v>2</v>
      </c>
      <c r="D41" s="12" t="str">
        <f>IFERROR(__xludf.DUMMYFUNCTION("""COMPUTED_VALUE"""),"Marcio")</f>
        <v>Marcio</v>
      </c>
      <c r="E41" s="12" t="str">
        <f>IFERROR(__xludf.DUMMYFUNCTION("""COMPUTED_VALUE"""),"Fazzani")</f>
        <v>Fazzani</v>
      </c>
      <c r="F41" s="12" t="str">
        <f>IFERROR(__xludf.DUMMYFUNCTION("""COMPUTED_VALUE"""),"1539 Stellar Truth Way")</f>
        <v>1539 Stellar Truth Way</v>
      </c>
      <c r="G41" s="12" t="str">
        <f>IFERROR(__xludf.DUMMYFUNCTION("""COMPUTED_VALUE"""),"Wylie")</f>
        <v>Wylie</v>
      </c>
      <c r="H41" s="12"/>
      <c r="I41" s="12" t="str">
        <f>IFERROR(__xludf.DUMMYFUNCTION("""COMPUTED_VALUE"""),"marcio.fazzani@hotmail.com")</f>
        <v>marcio.fazzani@hotmail.com</v>
      </c>
      <c r="J41" s="12">
        <f>IFERROR(__xludf.DUMMYFUNCTION("""COMPUTED_VALUE"""),3.0)</f>
        <v>3</v>
      </c>
      <c r="K41" s="12">
        <f>IFERROR(__xludf.DUMMYFUNCTION("""COMPUTED_VALUE"""),18.0)</f>
        <v>18</v>
      </c>
    </row>
    <row r="42">
      <c r="A42" s="12" t="str">
        <f>IFERROR(__xludf.DUMMYFUNCTION("""COMPUTED_VALUE"""),"ACTIVE")</f>
        <v>ACTIVE</v>
      </c>
      <c r="B42" s="12" t="str">
        <f>IFERROR(__xludf.DUMMYFUNCTION("""COMPUTED_VALUE"""),"ACTIVE JUDGES NON BJCP")</f>
        <v>ACTIVE JUDGES NON BJCP</v>
      </c>
      <c r="C42" s="12">
        <f>IFERROR(__xludf.DUMMYFUNCTION("""COMPUTED_VALUE"""),2.0)</f>
        <v>2</v>
      </c>
      <c r="D42" s="12" t="str">
        <f>IFERROR(__xludf.DUMMYFUNCTION("""COMPUTED_VALUE"""),"Keith")</f>
        <v>Keith</v>
      </c>
      <c r="E42" s="12" t="str">
        <f>IFERROR(__xludf.DUMMYFUNCTION("""COMPUTED_VALUE"""),"Marius")</f>
        <v>Marius</v>
      </c>
      <c r="F42" s="12" t="str">
        <f>IFERROR(__xludf.DUMMYFUNCTION("""COMPUTED_VALUE"""),"222 Browder St. Apt 303")</f>
        <v>222 Browder St. Apt 303</v>
      </c>
      <c r="G42" s="12" t="str">
        <f>IFERROR(__xludf.DUMMYFUNCTION("""COMPUTED_VALUE"""),"Dallas")</f>
        <v>Dallas</v>
      </c>
      <c r="H42" s="12" t="str">
        <f>IFERROR(__xludf.DUMMYFUNCTION("""COMPUTED_VALUE"""),"2144764235")</f>
        <v>2144764235</v>
      </c>
      <c r="I42" s="12" t="str">
        <f>IFERROR(__xludf.DUMMYFUNCTION("""COMPUTED_VALUE"""),"keith@twinbridgesbrewingco.com")</f>
        <v>keith@twinbridgesbrewingco.com</v>
      </c>
      <c r="J42" s="12">
        <f>IFERROR(__xludf.DUMMYFUNCTION("""COMPUTED_VALUE"""),1.0)</f>
        <v>1</v>
      </c>
      <c r="K42" s="12">
        <f>IFERROR(__xludf.DUMMYFUNCTION("""COMPUTED_VALUE"""),18.0)</f>
        <v>18</v>
      </c>
    </row>
    <row r="43">
      <c r="A43" s="12" t="str">
        <f>IFERROR(__xludf.DUMMYFUNCTION("""COMPUTED_VALUE"""),"ACTIVE")</f>
        <v>ACTIVE</v>
      </c>
      <c r="B43" s="12" t="str">
        <f>IFERROR(__xludf.DUMMYFUNCTION("""COMPUTED_VALUE"""),"ACTIVE JUDGES RECOGNIZED")</f>
        <v>ACTIVE JUDGES RECOGNIZED</v>
      </c>
      <c r="C43" s="12">
        <f>IFERROR(__xludf.DUMMYFUNCTION("""COMPUTED_VALUE"""),0.0)</f>
        <v>0</v>
      </c>
      <c r="D43" s="12" t="str">
        <f>IFERROR(__xludf.DUMMYFUNCTION("""COMPUTED_VALUE"""),"Eric")</f>
        <v>Eric</v>
      </c>
      <c r="E43" s="12" t="str">
        <f>IFERROR(__xludf.DUMMYFUNCTION("""COMPUTED_VALUE"""),"Morgan")</f>
        <v>Morgan</v>
      </c>
      <c r="F43" s="12" t="str">
        <f>IFERROR(__xludf.DUMMYFUNCTION("""COMPUTED_VALUE"""),"17811 Davenport Rd #11")</f>
        <v>17811 Davenport Rd #11</v>
      </c>
      <c r="G43" s="12" t="str">
        <f>IFERROR(__xludf.DUMMYFUNCTION("""COMPUTED_VALUE"""),"Mckinney")</f>
        <v>Mckinney</v>
      </c>
      <c r="H43" s="12" t="str">
        <f>IFERROR(__xludf.DUMMYFUNCTION("""COMPUTED_VALUE"""),"916-871-3541")</f>
        <v>916-871-3541</v>
      </c>
      <c r="I43" s="12" t="str">
        <f>IFERROR(__xludf.DUMMYFUNCTION("""COMPUTED_VALUE"""),"eric@nthbs.com")</f>
        <v>eric@nthbs.com</v>
      </c>
      <c r="J43" s="12">
        <f>IFERROR(__xludf.DUMMYFUNCTION("""COMPUTED_VALUE"""),1.0)</f>
        <v>1</v>
      </c>
      <c r="K43" s="12">
        <f>IFERROR(__xludf.DUMMYFUNCTION("""COMPUTED_VALUE"""),20.0)</f>
        <v>20</v>
      </c>
    </row>
    <row r="44">
      <c r="A44" s="12" t="str">
        <f>IFERROR(__xludf.DUMMYFUNCTION("""COMPUTED_VALUE"""),"ACTIVE")</f>
        <v>ACTIVE</v>
      </c>
      <c r="B44" s="12" t="str">
        <f>IFERROR(__xludf.DUMMYFUNCTION("""COMPUTED_VALUE"""),"ACTIVE JUDGES CERTIFIED ")</f>
        <v>ACTIVE JUDGES CERTIFIED </v>
      </c>
      <c r="C44" s="12">
        <f>IFERROR(__xludf.DUMMYFUNCTION("""COMPUTED_VALUE"""),1.0)</f>
        <v>1</v>
      </c>
      <c r="D44" s="12" t="str">
        <f>IFERROR(__xludf.DUMMYFUNCTION("""COMPUTED_VALUE"""),"Brandon")</f>
        <v>Brandon</v>
      </c>
      <c r="E44" s="12" t="str">
        <f>IFERROR(__xludf.DUMMYFUNCTION("""COMPUTED_VALUE"""),"Montgomery")</f>
        <v>Montgomery</v>
      </c>
      <c r="F44" s="12" t="str">
        <f>IFERROR(__xludf.DUMMYFUNCTION("""COMPUTED_VALUE"""),"7519 Millingston")</f>
        <v>7519 Millingston</v>
      </c>
      <c r="G44" s="12" t="str">
        <f>IFERROR(__xludf.DUMMYFUNCTION("""COMPUTED_VALUE"""),"Dallas")</f>
        <v>Dallas</v>
      </c>
      <c r="H44" s="12" t="str">
        <f>IFERROR(__xludf.DUMMYFUNCTION("""COMPUTED_VALUE"""),"678-925-7170")</f>
        <v>678-925-7170</v>
      </c>
      <c r="I44" s="12" t="str">
        <f>IFERROR(__xludf.DUMMYFUNCTION("""COMPUTED_VALUE"""),"brandon.montgomery@gmail.com")</f>
        <v>brandon.montgomery@gmail.com</v>
      </c>
      <c r="J44" s="12">
        <f>IFERROR(__xludf.DUMMYFUNCTION("""COMPUTED_VALUE"""),4.0)</f>
        <v>4</v>
      </c>
      <c r="K44" s="12">
        <f>IFERROR(__xludf.DUMMYFUNCTION("""COMPUTED_VALUE"""),23.0)</f>
        <v>23</v>
      </c>
    </row>
    <row r="45">
      <c r="A45" s="12" t="str">
        <f>IFERROR(__xludf.DUMMYFUNCTION("""COMPUTED_VALUE"""),"ACTIVE")</f>
        <v>ACTIVE</v>
      </c>
      <c r="B45" s="12" t="str">
        <f>IFERROR(__xludf.DUMMYFUNCTION("""COMPUTED_VALUE"""),"ACTIVE JUDGES CERTIFIED ")</f>
        <v>ACTIVE JUDGES CERTIFIED </v>
      </c>
      <c r="C45" s="12">
        <f>IFERROR(__xludf.DUMMYFUNCTION("""COMPUTED_VALUE"""),1.0)</f>
        <v>1</v>
      </c>
      <c r="D45" s="12" t="str">
        <f>IFERROR(__xludf.DUMMYFUNCTION("""COMPUTED_VALUE"""),"Alf")</f>
        <v>Alf</v>
      </c>
      <c r="E45" s="12" t="str">
        <f>IFERROR(__xludf.DUMMYFUNCTION("""COMPUTED_VALUE"""),"Syftestad")</f>
        <v>Syftestad</v>
      </c>
      <c r="F45" s="12" t="str">
        <f>IFERROR(__xludf.DUMMYFUNCTION("""COMPUTED_VALUE"""),"4919 Chilton Drive")</f>
        <v>4919 Chilton Drive</v>
      </c>
      <c r="G45" s="12" t="str">
        <f>IFERROR(__xludf.DUMMYFUNCTION("""COMPUTED_VALUE"""),"Dallas")</f>
        <v>Dallas</v>
      </c>
      <c r="H45" s="12" t="str">
        <f>IFERROR(__xludf.DUMMYFUNCTION("""COMPUTED_VALUE"""),"916-521-5857")</f>
        <v>916-521-5857</v>
      </c>
      <c r="I45" s="12" t="str">
        <f>IFERROR(__xludf.DUMMYFUNCTION("""COMPUTED_VALUE"""),"a.syftestad@gmail.com")</f>
        <v>a.syftestad@gmail.com</v>
      </c>
      <c r="J45" s="12">
        <f>IFERROR(__xludf.DUMMYFUNCTION("""COMPUTED_VALUE"""),4.0)</f>
        <v>4</v>
      </c>
      <c r="K45" s="12">
        <f>IFERROR(__xludf.DUMMYFUNCTION("""COMPUTED_VALUE"""),23.0)</f>
        <v>23</v>
      </c>
    </row>
    <row r="46">
      <c r="A46" s="12" t="str">
        <f>IFERROR(__xludf.DUMMYFUNCTION("""COMPUTED_VALUE"""),"ACTIVE")</f>
        <v>ACTIVE</v>
      </c>
      <c r="B46" s="12" t="str">
        <f>IFERROR(__xludf.DUMMYFUNCTION("""COMPUTED_VALUE"""),"ACTIVE JUDGES NON BJCP")</f>
        <v>ACTIVE JUDGES NON BJCP</v>
      </c>
      <c r="C46" s="12">
        <f>IFERROR(__xludf.DUMMYFUNCTION("""COMPUTED_VALUE"""),2.0)</f>
        <v>2</v>
      </c>
      <c r="D46" s="12" t="str">
        <f>IFERROR(__xludf.DUMMYFUNCTION("""COMPUTED_VALUE"""),"Kevin")</f>
        <v>Kevin</v>
      </c>
      <c r="E46" s="12" t="str">
        <f>IFERROR(__xludf.DUMMYFUNCTION("""COMPUTED_VALUE"""),"Meyer")</f>
        <v>Meyer</v>
      </c>
      <c r="F46" s="12" t="str">
        <f>IFERROR(__xludf.DUMMYFUNCTION("""COMPUTED_VALUE"""),"2070 Aberdeen Ln")</f>
        <v>2070 Aberdeen Ln</v>
      </c>
      <c r="G46" s="12" t="str">
        <f>IFERROR(__xludf.DUMMYFUNCTION("""COMPUTED_VALUE"""),"Rockwall")</f>
        <v>Rockwall</v>
      </c>
      <c r="H46" s="12"/>
      <c r="I46" s="12" t="str">
        <f>IFERROR(__xludf.DUMMYFUNCTION("""COMPUTED_VALUE"""),"kdog311@gmail.com")</f>
        <v>kdog311@gmail.com</v>
      </c>
      <c r="J46" s="12">
        <f>IFERROR(__xludf.DUMMYFUNCTION("""COMPUTED_VALUE"""),4.0)</f>
        <v>4</v>
      </c>
      <c r="K46" s="12">
        <f>IFERROR(__xludf.DUMMYFUNCTION("""COMPUTED_VALUE"""),27.0)</f>
        <v>27</v>
      </c>
    </row>
    <row r="47">
      <c r="A47" s="12" t="str">
        <f>IFERROR(__xludf.DUMMYFUNCTION("""COMPUTED_VALUE"""),"ACTIVE")</f>
        <v>ACTIVE</v>
      </c>
      <c r="B47" s="12" t="str">
        <f>IFERROR(__xludf.DUMMYFUNCTION("""COMPUTED_VALUE"""),"ACTIVE JUDGES CERTIFIED MEAD ONLY")</f>
        <v>ACTIVE JUDGES CERTIFIED MEAD ONLY</v>
      </c>
      <c r="C47" s="12">
        <f>IFERROR(__xludf.DUMMYFUNCTION("""COMPUTED_VALUE"""),1.0)</f>
        <v>1</v>
      </c>
      <c r="D47" s="12" t="str">
        <f>IFERROR(__xludf.DUMMYFUNCTION("""COMPUTED_VALUE"""),"Carlos")</f>
        <v>Carlos</v>
      </c>
      <c r="E47" s="12" t="str">
        <f>IFERROR(__xludf.DUMMYFUNCTION("""COMPUTED_VALUE"""),"Herrera")</f>
        <v>Herrera</v>
      </c>
      <c r="F47" s="12" t="str">
        <f>IFERROR(__xludf.DUMMYFUNCTION("""COMPUTED_VALUE"""),"3908 Betty St")</f>
        <v>3908 Betty St</v>
      </c>
      <c r="G47" s="12" t="str">
        <f>IFERROR(__xludf.DUMMYFUNCTION("""COMPUTED_VALUE"""),"Rockwall")</f>
        <v>Rockwall</v>
      </c>
      <c r="H47" s="12" t="str">
        <f>IFERROR(__xludf.DUMMYFUNCTION("""COMPUTED_VALUE"""),"972-898-1865")</f>
        <v>972-898-1865</v>
      </c>
      <c r="I47" s="12" t="str">
        <f>IFERROR(__xludf.DUMMYFUNCTION("""COMPUTED_VALUE"""),"purpleheart2127@gmail.com")</f>
        <v>purpleheart2127@gmail.com</v>
      </c>
      <c r="J47" s="12">
        <f>IFERROR(__xludf.DUMMYFUNCTION("""COMPUTED_VALUE"""),2.0)</f>
        <v>2</v>
      </c>
      <c r="K47" s="12">
        <f>IFERROR(__xludf.DUMMYFUNCTION("""COMPUTED_VALUE"""),28.0)</f>
        <v>28</v>
      </c>
    </row>
    <row r="48">
      <c r="A48" s="12" t="str">
        <f>IFERROR(__xludf.DUMMYFUNCTION("""COMPUTED_VALUE"""),"ACTIVE")</f>
        <v>ACTIVE</v>
      </c>
      <c r="B48" s="12" t="str">
        <f>IFERROR(__xludf.DUMMYFUNCTION("""COMPUTED_VALUE"""),"ACTIVE JUDGES CERTIFIED ")</f>
        <v>ACTIVE JUDGES CERTIFIED </v>
      </c>
      <c r="C48" s="12">
        <f>IFERROR(__xludf.DUMMYFUNCTION("""COMPUTED_VALUE"""),1.0)</f>
        <v>1</v>
      </c>
      <c r="D48" s="12" t="str">
        <f>IFERROR(__xludf.DUMMYFUNCTION("""COMPUTED_VALUE"""),"Fritz")</f>
        <v>Fritz</v>
      </c>
      <c r="E48" s="12" t="str">
        <f>IFERROR(__xludf.DUMMYFUNCTION("""COMPUTED_VALUE"""),"Schanz")</f>
        <v>Schanz</v>
      </c>
      <c r="F48" s="12" t="str">
        <f>IFERROR(__xludf.DUMMYFUNCTION("""COMPUTED_VALUE"""),"11511 Michaels Lane")</f>
        <v>11511 Michaels Lane</v>
      </c>
      <c r="G48" s="12" t="str">
        <f>IFERROR(__xludf.DUMMYFUNCTION("""COMPUTED_VALUE"""),"Aubrey")</f>
        <v>Aubrey</v>
      </c>
      <c r="H48" s="12" t="str">
        <f>IFERROR(__xludf.DUMMYFUNCTION("""COMPUTED_VALUE"""),"940-300-4819")</f>
        <v>940-300-4819</v>
      </c>
      <c r="I48" s="12" t="str">
        <f>IFERROR(__xludf.DUMMYFUNCTION("""COMPUTED_VALUE"""),"fritz.schanz@gmail.com")</f>
        <v>fritz.schanz@gmail.com</v>
      </c>
      <c r="J48" s="12">
        <f>IFERROR(__xludf.DUMMYFUNCTION("""COMPUTED_VALUE"""),7.0)</f>
        <v>7</v>
      </c>
      <c r="K48" s="12">
        <f>IFERROR(__xludf.DUMMYFUNCTION("""COMPUTED_VALUE"""),37.0)</f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612</v>
      </c>
      <c r="K1" s="2" t="s">
        <v>613</v>
      </c>
      <c r="L1" s="11"/>
      <c r="M1" s="11"/>
      <c r="N1" s="11"/>
      <c r="O1" s="11"/>
      <c r="P1" s="11"/>
      <c r="Q1" s="11"/>
      <c r="R1" s="11"/>
      <c r="S1" s="11"/>
      <c r="T1" s="11"/>
    </row>
    <row r="2">
      <c r="A2" s="12" t="str">
        <f>IFERROR(__xludf.DUMMYFUNCTION("QUERY(
  JudgeInfo!A2:U1000,
  ""select A,B,C,D,E,F,G,H,I,T, K 
   where U = 'GRAPEVINE SITE1'
   order by K asc"",
  0
)"),"ACTIVE")</f>
        <v>ACTIVE</v>
      </c>
      <c r="B2" s="12" t="str">
        <f>IFERROR(__xludf.DUMMYFUNCTION("""COMPUTED_VALUE"""),"ACTIVE JUDGES CERTIFIED ")</f>
        <v>ACTIVE JUDGES CERTIFIED </v>
      </c>
      <c r="C2" s="12">
        <f>IFERROR(__xludf.DUMMYFUNCTION("""COMPUTED_VALUE"""),1.0)</f>
        <v>1</v>
      </c>
      <c r="D2" s="12" t="str">
        <f>IFERROR(__xludf.DUMMYFUNCTION("""COMPUTED_VALUE"""),"Mark")</f>
        <v>Mark</v>
      </c>
      <c r="E2" s="12" t="str">
        <f>IFERROR(__xludf.DUMMYFUNCTION("""COMPUTED_VALUE"""),"McCurdy")</f>
        <v>McCurdy</v>
      </c>
      <c r="F2" s="12" t="str">
        <f>IFERROR(__xludf.DUMMYFUNCTION("""COMPUTED_VALUE"""),"2732 Greenbrook Court")</f>
        <v>2732 Greenbrook Court</v>
      </c>
      <c r="G2" s="12" t="str">
        <f>IFERROR(__xludf.DUMMYFUNCTION("""COMPUTED_VALUE"""),"Grapevine")</f>
        <v>Grapevine</v>
      </c>
      <c r="H2" s="12" t="str">
        <f>IFERROR(__xludf.DUMMYFUNCTION("""COMPUTED_VALUE"""),"817-734-3380")</f>
        <v>817-734-3380</v>
      </c>
      <c r="I2" s="12" t="str">
        <f>IFERROR(__xludf.DUMMYFUNCTION("""COMPUTED_VALUE"""),"qman56@gmail.com")</f>
        <v>qman56@gmail.com</v>
      </c>
      <c r="J2" s="12">
        <f>IFERROR(__xludf.DUMMYFUNCTION("""COMPUTED_VALUE"""),9.0)</f>
        <v>9</v>
      </c>
      <c r="K2" s="13">
        <f>IFERROR(__xludf.DUMMYFUNCTION("""COMPUTED_VALUE"""),0.0)</f>
        <v>0</v>
      </c>
    </row>
    <row r="3">
      <c r="A3" s="12" t="str">
        <f>IFERROR(__xludf.DUMMYFUNCTION("""COMPUTED_VALUE"""),"ACTIVE")</f>
        <v>ACTIVE</v>
      </c>
      <c r="B3" s="12" t="str">
        <f>IFERROR(__xludf.DUMMYFUNCTION("""COMPUTED_VALUE"""),"ACTIVE JUDGES CERTIFIED ")</f>
        <v>ACTIVE JUDGES CERTIFIED </v>
      </c>
      <c r="C3" s="12">
        <f>IFERROR(__xludf.DUMMYFUNCTION("""COMPUTED_VALUE"""),1.0)</f>
        <v>1</v>
      </c>
      <c r="D3" s="12" t="str">
        <f>IFERROR(__xludf.DUMMYFUNCTION("""COMPUTED_VALUE"""),"James")</f>
        <v>James</v>
      </c>
      <c r="E3" s="12" t="str">
        <f>IFERROR(__xludf.DUMMYFUNCTION("""COMPUTED_VALUE"""),"Duke")</f>
        <v>Duke</v>
      </c>
      <c r="F3" s="12" t="str">
        <f>IFERROR(__xludf.DUMMYFUNCTION("""COMPUTED_VALUE"""),"812 Central Dr")</f>
        <v>812 Central Dr</v>
      </c>
      <c r="G3" s="12" t="str">
        <f>IFERROR(__xludf.DUMMYFUNCTION("""COMPUTED_VALUE"""),"Colleyville")</f>
        <v>Colleyville</v>
      </c>
      <c r="H3" s="12" t="str">
        <f>IFERROR(__xludf.DUMMYFUNCTION("""COMPUTED_VALUE"""),"310-908-2684")</f>
        <v>310-908-2684</v>
      </c>
      <c r="I3" s="12" t="str">
        <f>IFERROR(__xludf.DUMMYFUNCTION("""COMPUTED_VALUE"""),"dukejh3@utexas.edu")</f>
        <v>dukejh3@utexas.edu</v>
      </c>
      <c r="J3" s="12">
        <f>IFERROR(__xludf.DUMMYFUNCTION("""COMPUTED_VALUE"""),7.0)</f>
        <v>7</v>
      </c>
      <c r="K3" s="13">
        <f>IFERROR(__xludf.DUMMYFUNCTION("""COMPUTED_VALUE"""),5.0)</f>
        <v>5</v>
      </c>
    </row>
    <row r="4">
      <c r="A4" s="12" t="str">
        <f>IFERROR(__xludf.DUMMYFUNCTION("""COMPUTED_VALUE"""),"ACTIVE")</f>
        <v>ACTIVE</v>
      </c>
      <c r="B4" s="12" t="str">
        <f>IFERROR(__xludf.DUMMYFUNCTION("""COMPUTED_VALUE"""),"ACTIVE JUDGES NON BJCP")</f>
        <v>ACTIVE JUDGES NON BJCP</v>
      </c>
      <c r="C4" s="12">
        <f>IFERROR(__xludf.DUMMYFUNCTION("""COMPUTED_VALUE"""),2.0)</f>
        <v>2</v>
      </c>
      <c r="D4" s="12" t="str">
        <f>IFERROR(__xludf.DUMMYFUNCTION("""COMPUTED_VALUE"""),"Dianne")</f>
        <v>Dianne</v>
      </c>
      <c r="E4" s="12" t="str">
        <f>IFERROR(__xludf.DUMMYFUNCTION("""COMPUTED_VALUE"""),"Duke")</f>
        <v>Duke</v>
      </c>
      <c r="F4" s="12" t="str">
        <f>IFERROR(__xludf.DUMMYFUNCTION("""COMPUTED_VALUE"""),"812 Central Drive")</f>
        <v>812 Central Drive</v>
      </c>
      <c r="G4" s="12" t="str">
        <f>IFERROR(__xludf.DUMMYFUNCTION("""COMPUTED_VALUE"""),"Colleyville")</f>
        <v>Colleyville</v>
      </c>
      <c r="H4" s="12" t="str">
        <f>IFERROR(__xludf.DUMMYFUNCTION("""COMPUTED_VALUE"""),"8172716793")</f>
        <v>8172716793</v>
      </c>
      <c r="I4" s="12" t="str">
        <f>IFERROR(__xludf.DUMMYFUNCTION("""COMPUTED_VALUE"""),"dianne.duke72@gmail.com")</f>
        <v>dianne.duke72@gmail.com</v>
      </c>
      <c r="J4" s="12">
        <f>IFERROR(__xludf.DUMMYFUNCTION("""COMPUTED_VALUE"""),5.0)</f>
        <v>5</v>
      </c>
      <c r="K4" s="13">
        <f>IFERROR(__xludf.DUMMYFUNCTION("""COMPUTED_VALUE"""),5.0)</f>
        <v>5</v>
      </c>
    </row>
    <row r="5">
      <c r="A5" s="12" t="str">
        <f>IFERROR(__xludf.DUMMYFUNCTION("""COMPUTED_VALUE"""),"ACTIVE")</f>
        <v>ACTIVE</v>
      </c>
      <c r="B5" s="12" t="str">
        <f>IFERROR(__xludf.DUMMYFUNCTION("""COMPUTED_VALUE"""),"ACTIVE JUDGES RECOGNIZED")</f>
        <v>ACTIVE JUDGES RECOGNIZED</v>
      </c>
      <c r="C5" s="12">
        <f>IFERROR(__xludf.DUMMYFUNCTION("""COMPUTED_VALUE"""),0.0)</f>
        <v>0</v>
      </c>
      <c r="D5" s="12" t="str">
        <f>IFERROR(__xludf.DUMMYFUNCTION("""COMPUTED_VALUE"""),"Karl")</f>
        <v>Karl</v>
      </c>
      <c r="E5" s="12" t="str">
        <f>IFERROR(__xludf.DUMMYFUNCTION("""COMPUTED_VALUE"""),"King")</f>
        <v>King</v>
      </c>
      <c r="F5" s="12" t="str">
        <f>IFERROR(__xludf.DUMMYFUNCTION("""COMPUTED_VALUE"""),"4009 Deepwood")</f>
        <v>4009 Deepwood</v>
      </c>
      <c r="G5" s="12" t="str">
        <f>IFERROR(__xludf.DUMMYFUNCTION("""COMPUTED_VALUE"""),"Colleyville")</f>
        <v>Colleyville</v>
      </c>
      <c r="H5" s="12" t="str">
        <f>IFERROR(__xludf.DUMMYFUNCTION("""COMPUTED_VALUE"""),"817-657-3569")</f>
        <v>817-657-3569</v>
      </c>
      <c r="I5" s="12" t="str">
        <f>IFERROR(__xludf.DUMMYFUNCTION("""COMPUTED_VALUE"""),"kaltenburg@yahoo.com")</f>
        <v>kaltenburg@yahoo.com</v>
      </c>
      <c r="J5" s="12">
        <f>IFERROR(__xludf.DUMMYFUNCTION("""COMPUTED_VALUE"""),5.0)</f>
        <v>5</v>
      </c>
      <c r="K5" s="13">
        <f>IFERROR(__xludf.DUMMYFUNCTION("""COMPUTED_VALUE"""),5.0)</f>
        <v>5</v>
      </c>
    </row>
    <row r="6">
      <c r="A6" s="12" t="str">
        <f>IFERROR(__xludf.DUMMYFUNCTION("""COMPUTED_VALUE"""),"ACTIVE")</f>
        <v>ACTIVE</v>
      </c>
      <c r="B6" s="12" t="str">
        <f>IFERROR(__xludf.DUMMYFUNCTION("""COMPUTED_VALUE"""),"ACTIVE JUDGES NON BJCP")</f>
        <v>ACTIVE JUDGES NON BJCP</v>
      </c>
      <c r="C6" s="12">
        <f>IFERROR(__xludf.DUMMYFUNCTION("""COMPUTED_VALUE"""),2.0)</f>
        <v>2</v>
      </c>
      <c r="D6" s="12" t="str">
        <f>IFERROR(__xludf.DUMMYFUNCTION("""COMPUTED_VALUE"""),"Max")</f>
        <v>Max</v>
      </c>
      <c r="E6" s="12" t="str">
        <f>IFERROR(__xludf.DUMMYFUNCTION("""COMPUTED_VALUE"""),"Milan")</f>
        <v>Milan</v>
      </c>
      <c r="F6" s="12" t="str">
        <f>IFERROR(__xludf.DUMMYFUNCTION("""COMPUTED_VALUE"""),"808 Morning Glory Lane")</f>
        <v>808 Morning Glory Lane</v>
      </c>
      <c r="G6" s="12" t="str">
        <f>IFERROR(__xludf.DUMMYFUNCTION("""COMPUTED_VALUE"""),"Bedford")</f>
        <v>Bedford</v>
      </c>
      <c r="H6" s="12" t="str">
        <f>IFERROR(__xludf.DUMMYFUNCTION("""COMPUTED_VALUE"""),"(904) 814-9010")</f>
        <v>(904) 814-9010</v>
      </c>
      <c r="I6" s="12" t="str">
        <f>IFERROR(__xludf.DUMMYFUNCTION("""COMPUTED_VALUE"""),"maxmilan4@gmail.com")</f>
        <v>maxmilan4@gmail.com</v>
      </c>
      <c r="J6" s="12">
        <f>IFERROR(__xludf.DUMMYFUNCTION("""COMPUTED_VALUE"""),1.0)</f>
        <v>1</v>
      </c>
      <c r="K6" s="13">
        <f>IFERROR(__xludf.DUMMYFUNCTION("""COMPUTED_VALUE"""),6.0)</f>
        <v>6</v>
      </c>
    </row>
    <row r="7">
      <c r="A7" s="12" t="str">
        <f>IFERROR(__xludf.DUMMYFUNCTION("""COMPUTED_VALUE"""),"ACTIVE")</f>
        <v>ACTIVE</v>
      </c>
      <c r="B7" s="12" t="str">
        <f>IFERROR(__xludf.DUMMYFUNCTION("""COMPUTED_VALUE"""),"ACTIVE JUDGES NATIONAL")</f>
        <v>ACTIVE JUDGES NATIONAL</v>
      </c>
      <c r="C7" s="12">
        <f>IFERROR(__xludf.DUMMYFUNCTION("""COMPUTED_VALUE"""),1.0)</f>
        <v>1</v>
      </c>
      <c r="D7" s="12" t="str">
        <f>IFERROR(__xludf.DUMMYFUNCTION("""COMPUTED_VALUE"""),"Brian")</f>
        <v>Brian</v>
      </c>
      <c r="E7" s="12" t="str">
        <f>IFERROR(__xludf.DUMMYFUNCTION("""COMPUTED_VALUE"""),"Schoolcraft")</f>
        <v>Schoolcraft</v>
      </c>
      <c r="F7" s="12" t="str">
        <f>IFERROR(__xludf.DUMMYFUNCTION("""COMPUTED_VALUE"""),"3240 Scenic Hills Dr")</f>
        <v>3240 Scenic Hills Dr</v>
      </c>
      <c r="G7" s="12" t="str">
        <f>IFERROR(__xludf.DUMMYFUNCTION("""COMPUTED_VALUE"""),"Bedford")</f>
        <v>Bedford</v>
      </c>
      <c r="H7" s="12" t="str">
        <f>IFERROR(__xludf.DUMMYFUNCTION("""COMPUTED_VALUE"""),"817-905-2735")</f>
        <v>817-905-2735</v>
      </c>
      <c r="I7" s="12" t="str">
        <f>IFERROR(__xludf.DUMMYFUNCTION("""COMPUTED_VALUE"""),"bsbrewery@gmail.com")</f>
        <v>bsbrewery@gmail.com</v>
      </c>
      <c r="J7" s="12">
        <f>IFERROR(__xludf.DUMMYFUNCTION("""COMPUTED_VALUE"""),5.0)</f>
        <v>5</v>
      </c>
      <c r="K7" s="13">
        <f>IFERROR(__xludf.DUMMYFUNCTION("""COMPUTED_VALUE"""),6.0)</f>
        <v>6</v>
      </c>
    </row>
    <row r="8">
      <c r="A8" s="12" t="str">
        <f>IFERROR(__xludf.DUMMYFUNCTION("""COMPUTED_VALUE"""),"ACTIVE")</f>
        <v>ACTIVE</v>
      </c>
      <c r="B8" s="12" t="str">
        <f>IFERROR(__xludf.DUMMYFUNCTION("""COMPUTED_VALUE"""),"ACTIVE JUDGES NON BJCP")</f>
        <v>ACTIVE JUDGES NON BJCP</v>
      </c>
      <c r="C8" s="12">
        <f>IFERROR(__xludf.DUMMYFUNCTION("""COMPUTED_VALUE"""),2.0)</f>
        <v>2</v>
      </c>
      <c r="D8" s="12" t="str">
        <f>IFERROR(__xludf.DUMMYFUNCTION("""COMPUTED_VALUE"""),"Nicole")</f>
        <v>Nicole</v>
      </c>
      <c r="E8" s="12" t="str">
        <f>IFERROR(__xludf.DUMMYFUNCTION("""COMPUTED_VALUE"""),"Pena")</f>
        <v>Pena</v>
      </c>
      <c r="F8" s="12" t="str">
        <f>IFERROR(__xludf.DUMMYFUNCTION("""COMPUTED_VALUE"""),"444 W Pleasantview Dr")</f>
        <v>444 W Pleasantview Dr</v>
      </c>
      <c r="G8" s="12" t="str">
        <f>IFERROR(__xludf.DUMMYFUNCTION("""COMPUTED_VALUE"""),"Hurst")</f>
        <v>Hurst</v>
      </c>
      <c r="H8" s="12" t="str">
        <f>IFERROR(__xludf.DUMMYFUNCTION("""COMPUTED_VALUE"""),"(817) 269-6941")</f>
        <v>(817) 269-6941</v>
      </c>
      <c r="I8" s="12" t="str">
        <f>IFERROR(__xludf.DUMMYFUNCTION("""COMPUTED_VALUE"""),"tinyhomebrewer@gmail.com")</f>
        <v>tinyhomebrewer@gmail.com</v>
      </c>
      <c r="J8" s="12">
        <f>IFERROR(__xludf.DUMMYFUNCTION("""COMPUTED_VALUE"""),1.0)</f>
        <v>1</v>
      </c>
      <c r="K8" s="13">
        <f>IFERROR(__xludf.DUMMYFUNCTION("""COMPUTED_VALUE"""),9.0)</f>
        <v>9</v>
      </c>
    </row>
    <row r="9">
      <c r="A9" s="12" t="str">
        <f>IFERROR(__xludf.DUMMYFUNCTION("""COMPUTED_VALUE"""),"ACTIVE")</f>
        <v>ACTIVE</v>
      </c>
      <c r="B9" s="12" t="str">
        <f>IFERROR(__xludf.DUMMYFUNCTION("""COMPUTED_VALUE"""),"ACTIVE JUDGES NON BJCP")</f>
        <v>ACTIVE JUDGES NON BJCP</v>
      </c>
      <c r="C9" s="12">
        <f>IFERROR(__xludf.DUMMYFUNCTION("""COMPUTED_VALUE"""),2.0)</f>
        <v>2</v>
      </c>
      <c r="D9" s="12" t="str">
        <f>IFERROR(__xludf.DUMMYFUNCTION("""COMPUTED_VALUE"""),"Brett")</f>
        <v>Brett</v>
      </c>
      <c r="E9" s="12" t="str">
        <f>IFERROR(__xludf.DUMMYFUNCTION("""COMPUTED_VALUE"""),"Johnson")</f>
        <v>Johnson</v>
      </c>
      <c r="F9" s="12" t="str">
        <f>IFERROR(__xludf.DUMMYFUNCTION("""COMPUTED_VALUE"""),"724 Lake Carolyn Pkwy Apt 238")</f>
        <v>724 Lake Carolyn Pkwy Apt 238</v>
      </c>
      <c r="G9" s="12" t="str">
        <f>IFERROR(__xludf.DUMMYFUNCTION("""COMPUTED_VALUE"""),"Irving")</f>
        <v>Irving</v>
      </c>
      <c r="H9" s="12"/>
      <c r="I9" s="12" t="str">
        <f>IFERROR(__xludf.DUMMYFUNCTION("""COMPUTED_VALUE"""),"johnson.a.brett@gmail.com")</f>
        <v>johnson.a.brett@gmail.com</v>
      </c>
      <c r="J9" s="12">
        <f>IFERROR(__xludf.DUMMYFUNCTION("""COMPUTED_VALUE"""),3.0)</f>
        <v>3</v>
      </c>
      <c r="K9" s="13">
        <f>IFERROR(__xludf.DUMMYFUNCTION("""COMPUTED_VALUE"""),14.0)</f>
        <v>14</v>
      </c>
    </row>
    <row r="10">
      <c r="A10" s="12" t="str">
        <f>IFERROR(__xludf.DUMMYFUNCTION("""COMPUTED_VALUE"""),"ACTIVE")</f>
        <v>ACTIVE</v>
      </c>
      <c r="B10" s="12" t="str">
        <f>IFERROR(__xludf.DUMMYFUNCTION("""COMPUTED_VALUE"""),"ACTIVE JUDGES NON BJCP")</f>
        <v>ACTIVE JUDGES NON BJCP</v>
      </c>
      <c r="C10" s="12">
        <f>IFERROR(__xludf.DUMMYFUNCTION("""COMPUTED_VALUE"""),2.0)</f>
        <v>2</v>
      </c>
      <c r="D10" s="12" t="str">
        <f>IFERROR(__xludf.DUMMYFUNCTION("""COMPUTED_VALUE"""),"Tina")</f>
        <v>Tina</v>
      </c>
      <c r="E10" s="12" t="str">
        <f>IFERROR(__xludf.DUMMYFUNCTION("""COMPUTED_VALUE"""),"Kanaby")</f>
        <v>Kanaby</v>
      </c>
      <c r="F10" s="12" t="str">
        <f>IFERROR(__xludf.DUMMYFUNCTION("""COMPUTED_VALUE"""),"724 Lake Carolyn Pkwy, Apt 238")</f>
        <v>724 Lake Carolyn Pkwy, Apt 238</v>
      </c>
      <c r="G10" s="12" t="str">
        <f>IFERROR(__xludf.DUMMYFUNCTION("""COMPUTED_VALUE"""),"Irving")</f>
        <v>Irving</v>
      </c>
      <c r="H10" s="12"/>
      <c r="I10" s="12" t="str">
        <f>IFERROR(__xludf.DUMMYFUNCTION("""COMPUTED_VALUE"""),"tinakanaby07@gmail.com")</f>
        <v>tinakanaby07@gmail.com</v>
      </c>
      <c r="J10" s="12">
        <f>IFERROR(__xludf.DUMMYFUNCTION("""COMPUTED_VALUE"""),1.0)</f>
        <v>1</v>
      </c>
      <c r="K10" s="13">
        <f>IFERROR(__xludf.DUMMYFUNCTION("""COMPUTED_VALUE"""),14.0)</f>
        <v>14</v>
      </c>
    </row>
    <row r="11">
      <c r="A11" s="12" t="str">
        <f>IFERROR(__xludf.DUMMYFUNCTION("""COMPUTED_VALUE"""),"ACTIVE")</f>
        <v>ACTIVE</v>
      </c>
      <c r="B11" s="12" t="str">
        <f>IFERROR(__xludf.DUMMYFUNCTION("""COMPUTED_VALUE"""),"ACTIVE JUDGES CERTIFIED ")</f>
        <v>ACTIVE JUDGES CERTIFIED </v>
      </c>
      <c r="C11" s="12">
        <f>IFERROR(__xludf.DUMMYFUNCTION("""COMPUTED_VALUE"""),1.0)</f>
        <v>1</v>
      </c>
      <c r="D11" s="12" t="str">
        <f>IFERROR(__xludf.DUMMYFUNCTION("""COMPUTED_VALUE"""),"Randy")</f>
        <v>Randy</v>
      </c>
      <c r="E11" s="12" t="str">
        <f>IFERROR(__xludf.DUMMYFUNCTION("""COMPUTED_VALUE"""),"Rancier")</f>
        <v>Rancier</v>
      </c>
      <c r="F11" s="12" t="str">
        <f>IFERROR(__xludf.DUMMYFUNCTION("""COMPUTED_VALUE"""),"501 Highland Dr Apt 1133")</f>
        <v>501 Highland Dr Apt 1133</v>
      </c>
      <c r="G11" s="12" t="str">
        <f>IFERROR(__xludf.DUMMYFUNCTION("""COMPUTED_VALUE"""),"Flower Mound")</f>
        <v>Flower Mound</v>
      </c>
      <c r="H11" s="12" t="str">
        <f>IFERROR(__xludf.DUMMYFUNCTION("""COMPUTED_VALUE"""),"817-897-6094")</f>
        <v>817-897-6094</v>
      </c>
      <c r="I11" s="12" t="str">
        <f>IFERROR(__xludf.DUMMYFUNCTION("""COMPUTED_VALUE"""),"randy.rancier@gmail.com")</f>
        <v>randy.rancier@gmail.com</v>
      </c>
      <c r="J11" s="12">
        <f>IFERROR(__xludf.DUMMYFUNCTION("""COMPUTED_VALUE"""),4.0)</f>
        <v>4</v>
      </c>
      <c r="K11" s="13">
        <f>IFERROR(__xludf.DUMMYFUNCTION("""COMPUTED_VALUE"""),17.0)</f>
        <v>17</v>
      </c>
    </row>
    <row r="12">
      <c r="A12" s="12" t="str">
        <f>IFERROR(__xludf.DUMMYFUNCTION("""COMPUTED_VALUE"""),"ACTIVE")</f>
        <v>ACTIVE</v>
      </c>
      <c r="B12" s="12" t="str">
        <f>IFERROR(__xludf.DUMMYFUNCTION("""COMPUTED_VALUE"""),"ACTIVE JUDGES NON BJCP")</f>
        <v>ACTIVE JUDGES NON BJCP</v>
      </c>
      <c r="C12" s="12">
        <f>IFERROR(__xludf.DUMMYFUNCTION("""COMPUTED_VALUE"""),2.0)</f>
        <v>2</v>
      </c>
      <c r="D12" s="12" t="str">
        <f>IFERROR(__xludf.DUMMYFUNCTION("""COMPUTED_VALUE"""),"Scott")</f>
        <v>Scott</v>
      </c>
      <c r="E12" s="12" t="str">
        <f>IFERROR(__xludf.DUMMYFUNCTION("""COMPUTED_VALUE"""),"Mullis")</f>
        <v>Mullis</v>
      </c>
      <c r="F12" s="12" t="str">
        <f>IFERROR(__xludf.DUMMYFUNCTION("""COMPUTED_VALUE"""),"1408 Verbena Lane")</f>
        <v>1408 Verbena Lane</v>
      </c>
      <c r="G12" s="12" t="str">
        <f>IFERROR(__xludf.DUMMYFUNCTION("""COMPUTED_VALUE"""),"Lantana")</f>
        <v>Lantana</v>
      </c>
      <c r="H12" s="12"/>
      <c r="I12" s="12" t="str">
        <f>IFERROR(__xludf.DUMMYFUNCTION("""COMPUTED_VALUE"""),"scemullis@hotmail.com")</f>
        <v>scemullis@hotmail.com</v>
      </c>
      <c r="J12" s="12">
        <f>IFERROR(__xludf.DUMMYFUNCTION("""COMPUTED_VALUE"""),2.0)</f>
        <v>2</v>
      </c>
      <c r="K12" s="13">
        <f>IFERROR(__xludf.DUMMYFUNCTION("""COMPUTED_VALUE"""),20.0)</f>
        <v>20</v>
      </c>
    </row>
    <row r="13">
      <c r="A13" s="12" t="str">
        <f>IFERROR(__xludf.DUMMYFUNCTION("""COMPUTED_VALUE"""),"ACTIVE")</f>
        <v>ACTIVE</v>
      </c>
      <c r="B13" s="12" t="str">
        <f>IFERROR(__xludf.DUMMYFUNCTION("""COMPUTED_VALUE"""),"ACTIVE JUDGES CERTIFIED ")</f>
        <v>ACTIVE JUDGES CERTIFIED </v>
      </c>
      <c r="C13" s="12">
        <f>IFERROR(__xludf.DUMMYFUNCTION("""COMPUTED_VALUE"""),1.0)</f>
        <v>1</v>
      </c>
      <c r="D13" s="12" t="str">
        <f>IFERROR(__xludf.DUMMYFUNCTION("""COMPUTED_VALUE"""),"Joshua")</f>
        <v>Joshua</v>
      </c>
      <c r="E13" s="12" t="str">
        <f>IFERROR(__xludf.DUMMYFUNCTION("""COMPUTED_VALUE"""),"Hayes")</f>
        <v>Hayes</v>
      </c>
      <c r="F13" s="12" t="str">
        <f>IFERROR(__xludf.DUMMYFUNCTION("""COMPUTED_VALUE"""),"7108 Sunburst Trl")</f>
        <v>7108 Sunburst Trl</v>
      </c>
      <c r="G13" s="12" t="str">
        <f>IFERROR(__xludf.DUMMYFUNCTION("""COMPUTED_VALUE"""),"Denton")</f>
        <v>Denton</v>
      </c>
      <c r="H13" s="12" t="str">
        <f>IFERROR(__xludf.DUMMYFUNCTION("""COMPUTED_VALUE"""),"936-444-6483")</f>
        <v>936-444-6483</v>
      </c>
      <c r="I13" s="12" t="str">
        <f>IFERROR(__xludf.DUMMYFUNCTION("""COMPUTED_VALUE"""),"hayes.cbcmedia@gmail.com")</f>
        <v>hayes.cbcmedia@gmail.com</v>
      </c>
      <c r="J13" s="12">
        <f>IFERROR(__xludf.DUMMYFUNCTION("""COMPUTED_VALUE"""),2.0)</f>
        <v>2</v>
      </c>
      <c r="K13" s="13">
        <f>IFERROR(__xludf.DUMMYFUNCTION("""COMPUTED_VALUE"""),24.0)</f>
        <v>24</v>
      </c>
    </row>
    <row r="14">
      <c r="K14" s="13"/>
    </row>
    <row r="15">
      <c r="K15" s="13"/>
    </row>
    <row r="16">
      <c r="K16" s="13"/>
    </row>
    <row r="17">
      <c r="K17" s="13"/>
    </row>
    <row r="18">
      <c r="K18" s="13"/>
    </row>
    <row r="19">
      <c r="K19" s="13"/>
    </row>
    <row r="20">
      <c r="K20" s="13"/>
    </row>
    <row r="21">
      <c r="K21" s="13"/>
    </row>
    <row r="22">
      <c r="K22" s="13"/>
    </row>
    <row r="23">
      <c r="K23" s="13"/>
    </row>
    <row r="24">
      <c r="K24" s="13"/>
    </row>
    <row r="25">
      <c r="K25" s="13"/>
    </row>
    <row r="26">
      <c r="K26" s="13"/>
    </row>
    <row r="27">
      <c r="K27" s="13"/>
    </row>
    <row r="28">
      <c r="K28" s="13"/>
    </row>
    <row r="29">
      <c r="K29" s="13"/>
    </row>
    <row r="30">
      <c r="K30" s="13"/>
    </row>
    <row r="31">
      <c r="K31" s="13"/>
    </row>
    <row r="32">
      <c r="K32" s="13"/>
    </row>
    <row r="33">
      <c r="K33" s="13"/>
    </row>
    <row r="34">
      <c r="K34" s="13"/>
    </row>
    <row r="35">
      <c r="K35" s="13"/>
    </row>
    <row r="36">
      <c r="K36" s="13"/>
    </row>
    <row r="37">
      <c r="K37" s="13"/>
    </row>
    <row r="38">
      <c r="K38" s="13"/>
    </row>
    <row r="39">
      <c r="K39" s="13"/>
    </row>
    <row r="40">
      <c r="K40" s="13"/>
    </row>
    <row r="41">
      <c r="K41" s="13"/>
    </row>
    <row r="42">
      <c r="K42" s="13"/>
    </row>
    <row r="43">
      <c r="K43" s="13"/>
    </row>
    <row r="44">
      <c r="K44" s="13"/>
    </row>
    <row r="45">
      <c r="K45" s="13"/>
    </row>
    <row r="46">
      <c r="K46" s="13"/>
    </row>
    <row r="47">
      <c r="K47" s="13"/>
    </row>
    <row r="48">
      <c r="K48" s="13"/>
    </row>
    <row r="49">
      <c r="K49" s="13"/>
    </row>
    <row r="50">
      <c r="K50" s="13"/>
    </row>
    <row r="51">
      <c r="K51" s="13"/>
    </row>
    <row r="52">
      <c r="K52" s="13"/>
    </row>
    <row r="53">
      <c r="K53" s="13"/>
    </row>
    <row r="54">
      <c r="K54" s="13"/>
    </row>
    <row r="55">
      <c r="K55" s="13"/>
    </row>
    <row r="56">
      <c r="K56" s="13"/>
    </row>
    <row r="57">
      <c r="K57" s="13"/>
    </row>
    <row r="58">
      <c r="K58" s="13"/>
    </row>
    <row r="59">
      <c r="K59" s="13"/>
    </row>
    <row r="60">
      <c r="K60" s="13"/>
    </row>
    <row r="61">
      <c r="K61" s="13"/>
    </row>
    <row r="62">
      <c r="K62" s="13"/>
    </row>
    <row r="63">
      <c r="K63" s="13"/>
    </row>
    <row r="64">
      <c r="K64" s="13"/>
    </row>
    <row r="65">
      <c r="K65" s="13"/>
    </row>
    <row r="66">
      <c r="K66" s="13"/>
    </row>
    <row r="67">
      <c r="K67" s="13"/>
    </row>
    <row r="68">
      <c r="K68" s="13"/>
    </row>
    <row r="69">
      <c r="K69" s="13"/>
    </row>
    <row r="70">
      <c r="K70" s="13"/>
    </row>
    <row r="71">
      <c r="K71" s="13"/>
    </row>
    <row r="72">
      <c r="K72" s="13"/>
    </row>
    <row r="73">
      <c r="K73" s="13"/>
    </row>
    <row r="74">
      <c r="K74" s="13"/>
    </row>
    <row r="75">
      <c r="K75" s="13"/>
    </row>
    <row r="76">
      <c r="K76" s="13"/>
    </row>
    <row r="77">
      <c r="K77" s="13"/>
    </row>
    <row r="78">
      <c r="K78" s="13"/>
    </row>
    <row r="79">
      <c r="K79" s="13"/>
    </row>
    <row r="80">
      <c r="K80" s="13"/>
    </row>
    <row r="81">
      <c r="K81" s="13"/>
    </row>
    <row r="82">
      <c r="K82" s="13"/>
    </row>
    <row r="83">
      <c r="K83" s="13"/>
    </row>
    <row r="84">
      <c r="K84" s="13"/>
    </row>
    <row r="85">
      <c r="K85" s="13"/>
    </row>
    <row r="86">
      <c r="K86" s="13"/>
    </row>
    <row r="87">
      <c r="K87" s="13"/>
    </row>
    <row r="88">
      <c r="K88" s="13"/>
    </row>
    <row r="89">
      <c r="K89" s="13"/>
    </row>
    <row r="90">
      <c r="K90" s="13"/>
    </row>
    <row r="91">
      <c r="K91" s="13"/>
    </row>
    <row r="92">
      <c r="K92" s="13"/>
    </row>
    <row r="93">
      <c r="K93" s="13"/>
    </row>
    <row r="94">
      <c r="K94" s="13"/>
    </row>
    <row r="95">
      <c r="K95" s="13"/>
    </row>
    <row r="96">
      <c r="K96" s="13"/>
    </row>
    <row r="97">
      <c r="K97" s="13"/>
    </row>
    <row r="98">
      <c r="K98" s="13"/>
    </row>
    <row r="99">
      <c r="K99" s="13"/>
    </row>
    <row r="100">
      <c r="K100" s="13"/>
    </row>
    <row r="101">
      <c r="K101" s="13"/>
    </row>
    <row r="102">
      <c r="K102" s="13"/>
    </row>
    <row r="103">
      <c r="K103" s="13"/>
    </row>
    <row r="104">
      <c r="K104" s="13"/>
    </row>
    <row r="105">
      <c r="K105" s="13"/>
    </row>
    <row r="106">
      <c r="K106" s="13"/>
    </row>
    <row r="107">
      <c r="K107" s="13"/>
    </row>
    <row r="108">
      <c r="K108" s="13"/>
    </row>
    <row r="109">
      <c r="K109" s="13"/>
    </row>
    <row r="110">
      <c r="K110" s="13"/>
    </row>
    <row r="111">
      <c r="K111" s="13"/>
    </row>
    <row r="112">
      <c r="K112" s="13"/>
    </row>
    <row r="113">
      <c r="K113" s="13"/>
    </row>
    <row r="114">
      <c r="K114" s="13"/>
    </row>
    <row r="115">
      <c r="K115" s="13"/>
    </row>
    <row r="116">
      <c r="K116" s="13"/>
    </row>
    <row r="117">
      <c r="K117" s="13"/>
    </row>
    <row r="118">
      <c r="K118" s="13"/>
    </row>
    <row r="119">
      <c r="K119" s="13"/>
    </row>
    <row r="120">
      <c r="K120" s="13"/>
    </row>
    <row r="121">
      <c r="K121" s="13"/>
    </row>
    <row r="122">
      <c r="K122" s="13"/>
    </row>
    <row r="123">
      <c r="K123" s="13"/>
    </row>
    <row r="124">
      <c r="K124" s="13"/>
    </row>
    <row r="125">
      <c r="K125" s="13"/>
    </row>
    <row r="126">
      <c r="K126" s="13"/>
    </row>
    <row r="127">
      <c r="K127" s="13"/>
    </row>
    <row r="128">
      <c r="K128" s="13"/>
    </row>
    <row r="129">
      <c r="K129" s="13"/>
    </row>
    <row r="130">
      <c r="K130" s="13"/>
    </row>
    <row r="131">
      <c r="K131" s="13"/>
    </row>
    <row r="132">
      <c r="K132" s="13"/>
    </row>
    <row r="133">
      <c r="K133" s="13"/>
    </row>
    <row r="134">
      <c r="K134" s="13"/>
    </row>
    <row r="135">
      <c r="K135" s="13"/>
    </row>
    <row r="136">
      <c r="K136" s="13"/>
    </row>
    <row r="137">
      <c r="K137" s="13"/>
    </row>
    <row r="138">
      <c r="K138" s="13"/>
    </row>
    <row r="139">
      <c r="K139" s="13"/>
    </row>
    <row r="140">
      <c r="K140" s="13"/>
    </row>
    <row r="141">
      <c r="K141" s="13"/>
    </row>
    <row r="142">
      <c r="K142" s="13"/>
    </row>
    <row r="143">
      <c r="K143" s="13"/>
    </row>
    <row r="144">
      <c r="K144" s="13"/>
    </row>
    <row r="145">
      <c r="K145" s="13"/>
    </row>
    <row r="146">
      <c r="K146" s="13"/>
    </row>
    <row r="147">
      <c r="K147" s="13"/>
    </row>
    <row r="148">
      <c r="K148" s="13"/>
    </row>
    <row r="149">
      <c r="K149" s="13"/>
    </row>
    <row r="150">
      <c r="K150" s="13"/>
    </row>
    <row r="151">
      <c r="K151" s="13"/>
    </row>
    <row r="152">
      <c r="K152" s="13"/>
    </row>
    <row r="153">
      <c r="K153" s="13"/>
    </row>
    <row r="154">
      <c r="K154" s="13"/>
    </row>
    <row r="155">
      <c r="K155" s="13"/>
    </row>
    <row r="156">
      <c r="K156" s="13"/>
    </row>
    <row r="157">
      <c r="K157" s="13"/>
    </row>
    <row r="158">
      <c r="K158" s="13"/>
    </row>
    <row r="159">
      <c r="K159" s="13"/>
    </row>
    <row r="160">
      <c r="K160" s="13"/>
    </row>
    <row r="161">
      <c r="K161" s="13"/>
    </row>
    <row r="162">
      <c r="K162" s="13"/>
    </row>
    <row r="163">
      <c r="K163" s="13"/>
    </row>
    <row r="164">
      <c r="K164" s="13"/>
    </row>
    <row r="165">
      <c r="K165" s="13"/>
    </row>
    <row r="166">
      <c r="K166" s="13"/>
    </row>
    <row r="167">
      <c r="K167" s="13"/>
    </row>
    <row r="168">
      <c r="K168" s="13"/>
    </row>
    <row r="169">
      <c r="K169" s="13"/>
    </row>
    <row r="170">
      <c r="K170" s="13"/>
    </row>
    <row r="171">
      <c r="K171" s="13"/>
    </row>
    <row r="172">
      <c r="K172" s="13"/>
    </row>
    <row r="173">
      <c r="K173" s="13"/>
    </row>
    <row r="174">
      <c r="K174" s="13"/>
    </row>
    <row r="175">
      <c r="K175" s="13"/>
    </row>
    <row r="176">
      <c r="K176" s="13"/>
    </row>
    <row r="177">
      <c r="K177" s="13"/>
    </row>
    <row r="178">
      <c r="K178" s="13"/>
    </row>
    <row r="179">
      <c r="K179" s="13"/>
    </row>
    <row r="180">
      <c r="K180" s="13"/>
    </row>
    <row r="181">
      <c r="K181" s="13"/>
    </row>
    <row r="182">
      <c r="K182" s="13"/>
    </row>
    <row r="183">
      <c r="K183" s="13"/>
    </row>
    <row r="184">
      <c r="K184" s="13"/>
    </row>
    <row r="185">
      <c r="K185" s="13"/>
    </row>
    <row r="186">
      <c r="K186" s="13"/>
    </row>
    <row r="187">
      <c r="K187" s="13"/>
    </row>
    <row r="188">
      <c r="K188" s="13"/>
    </row>
    <row r="189">
      <c r="K189" s="13"/>
    </row>
    <row r="190">
      <c r="K190" s="13"/>
    </row>
    <row r="191">
      <c r="K191" s="13"/>
    </row>
    <row r="192">
      <c r="K192" s="13"/>
    </row>
    <row r="193">
      <c r="K193" s="13"/>
    </row>
    <row r="194">
      <c r="K194" s="13"/>
    </row>
    <row r="195">
      <c r="K195" s="13"/>
    </row>
    <row r="196">
      <c r="K196" s="13"/>
    </row>
    <row r="197">
      <c r="K197" s="13"/>
    </row>
    <row r="198">
      <c r="K198" s="13"/>
    </row>
    <row r="199">
      <c r="K199" s="13"/>
    </row>
    <row r="200">
      <c r="K200" s="13"/>
    </row>
    <row r="201">
      <c r="K201" s="13"/>
    </row>
    <row r="202">
      <c r="K202" s="13"/>
    </row>
    <row r="203">
      <c r="K203" s="13"/>
    </row>
    <row r="204">
      <c r="K204" s="13"/>
    </row>
    <row r="205">
      <c r="K205" s="13"/>
    </row>
    <row r="206">
      <c r="K206" s="13"/>
    </row>
    <row r="207">
      <c r="K207" s="13"/>
    </row>
    <row r="208">
      <c r="K208" s="13"/>
    </row>
    <row r="209">
      <c r="K209" s="13"/>
    </row>
    <row r="210">
      <c r="K210" s="13"/>
    </row>
    <row r="211">
      <c r="K211" s="13"/>
    </row>
    <row r="212">
      <c r="K212" s="13"/>
    </row>
    <row r="213">
      <c r="K213" s="13"/>
    </row>
    <row r="214">
      <c r="K214" s="13"/>
    </row>
    <row r="215">
      <c r="K215" s="13"/>
    </row>
    <row r="216">
      <c r="K216" s="13"/>
    </row>
    <row r="217">
      <c r="K217" s="13"/>
    </row>
    <row r="218">
      <c r="K218" s="13"/>
    </row>
    <row r="219">
      <c r="K219" s="13"/>
    </row>
    <row r="220">
      <c r="K220" s="13"/>
    </row>
    <row r="221">
      <c r="K221" s="13"/>
    </row>
    <row r="222">
      <c r="K222" s="13"/>
    </row>
    <row r="223">
      <c r="K223" s="13"/>
    </row>
    <row r="224">
      <c r="K224" s="13"/>
    </row>
    <row r="225">
      <c r="K225" s="13"/>
    </row>
    <row r="226">
      <c r="K226" s="13"/>
    </row>
    <row r="227">
      <c r="K227" s="13"/>
    </row>
    <row r="228">
      <c r="K228" s="13"/>
    </row>
    <row r="229">
      <c r="K229" s="13"/>
    </row>
    <row r="230">
      <c r="K230" s="13"/>
    </row>
    <row r="231">
      <c r="K231" s="13"/>
    </row>
    <row r="232">
      <c r="K232" s="13"/>
    </row>
    <row r="233">
      <c r="K233" s="13"/>
    </row>
    <row r="234">
      <c r="K234" s="13"/>
    </row>
    <row r="235">
      <c r="K235" s="13"/>
    </row>
    <row r="236">
      <c r="K236" s="13"/>
    </row>
    <row r="237">
      <c r="K237" s="13"/>
    </row>
    <row r="238">
      <c r="K238" s="13"/>
    </row>
    <row r="239">
      <c r="K239" s="13"/>
    </row>
    <row r="240">
      <c r="K240" s="13"/>
    </row>
    <row r="241">
      <c r="K241" s="13"/>
    </row>
    <row r="242">
      <c r="K242" s="13"/>
    </row>
    <row r="243">
      <c r="K243" s="13"/>
    </row>
    <row r="244">
      <c r="K244" s="13"/>
    </row>
    <row r="245">
      <c r="K245" s="13"/>
    </row>
    <row r="246">
      <c r="K246" s="13"/>
    </row>
    <row r="247">
      <c r="K247" s="13"/>
    </row>
    <row r="248">
      <c r="K248" s="13"/>
    </row>
    <row r="249">
      <c r="K249" s="13"/>
    </row>
    <row r="250">
      <c r="K250" s="13"/>
    </row>
    <row r="251">
      <c r="K251" s="13"/>
    </row>
    <row r="252">
      <c r="K252" s="13"/>
    </row>
    <row r="253">
      <c r="K253" s="13"/>
    </row>
    <row r="254">
      <c r="K254" s="13"/>
    </row>
    <row r="255">
      <c r="K255" s="13"/>
    </row>
    <row r="256">
      <c r="K256" s="13"/>
    </row>
    <row r="257">
      <c r="K257" s="13"/>
    </row>
    <row r="258">
      <c r="K258" s="13"/>
    </row>
    <row r="259">
      <c r="K259" s="13"/>
    </row>
    <row r="260">
      <c r="K260" s="13"/>
    </row>
    <row r="261">
      <c r="K261" s="13"/>
    </row>
    <row r="262">
      <c r="K262" s="13"/>
    </row>
    <row r="263">
      <c r="K263" s="13"/>
    </row>
    <row r="264">
      <c r="K264" s="13"/>
    </row>
    <row r="265">
      <c r="K265" s="13"/>
    </row>
    <row r="266">
      <c r="K266" s="13"/>
    </row>
    <row r="267">
      <c r="K267" s="13"/>
    </row>
    <row r="268">
      <c r="K268" s="13"/>
    </row>
    <row r="269">
      <c r="K269" s="13"/>
    </row>
    <row r="270">
      <c r="K270" s="13"/>
    </row>
    <row r="271">
      <c r="K271" s="13"/>
    </row>
    <row r="272">
      <c r="K272" s="13"/>
    </row>
    <row r="273">
      <c r="K273" s="13"/>
    </row>
    <row r="274">
      <c r="K274" s="13"/>
    </row>
    <row r="275">
      <c r="K275" s="13"/>
    </row>
    <row r="276">
      <c r="K276" s="13"/>
    </row>
    <row r="277">
      <c r="K277" s="13"/>
    </row>
    <row r="278">
      <c r="K278" s="13"/>
    </row>
    <row r="279">
      <c r="K279" s="13"/>
    </row>
    <row r="280">
      <c r="K280" s="13"/>
    </row>
    <row r="281">
      <c r="K281" s="13"/>
    </row>
    <row r="282">
      <c r="K282" s="13"/>
    </row>
    <row r="283">
      <c r="K283" s="13"/>
    </row>
    <row r="284">
      <c r="K284" s="13"/>
    </row>
    <row r="285">
      <c r="K285" s="13"/>
    </row>
    <row r="286">
      <c r="K286" s="13"/>
    </row>
    <row r="287">
      <c r="K287" s="13"/>
    </row>
    <row r="288">
      <c r="K288" s="13"/>
    </row>
    <row r="289">
      <c r="K289" s="13"/>
    </row>
    <row r="290">
      <c r="K290" s="13"/>
    </row>
    <row r="291">
      <c r="K291" s="13"/>
    </row>
    <row r="292">
      <c r="K292" s="13"/>
    </row>
    <row r="293">
      <c r="K293" s="13"/>
    </row>
    <row r="294">
      <c r="K294" s="13"/>
    </row>
    <row r="295">
      <c r="K295" s="13"/>
    </row>
    <row r="296">
      <c r="K296" s="13"/>
    </row>
    <row r="297">
      <c r="K297" s="13"/>
    </row>
    <row r="298">
      <c r="K298" s="13"/>
    </row>
    <row r="299">
      <c r="K299" s="13"/>
    </row>
    <row r="300">
      <c r="K300" s="13"/>
    </row>
    <row r="301">
      <c r="K301" s="13"/>
    </row>
    <row r="302">
      <c r="K302" s="13"/>
    </row>
    <row r="303">
      <c r="K303" s="13"/>
    </row>
    <row r="304">
      <c r="K304" s="13"/>
    </row>
    <row r="305">
      <c r="K305" s="13"/>
    </row>
    <row r="306">
      <c r="K306" s="13"/>
    </row>
    <row r="307">
      <c r="K307" s="13"/>
    </row>
    <row r="308">
      <c r="K308" s="13"/>
    </row>
    <row r="309">
      <c r="K309" s="13"/>
    </row>
    <row r="310">
      <c r="K310" s="13"/>
    </row>
    <row r="311">
      <c r="K311" s="13"/>
    </row>
    <row r="312">
      <c r="K312" s="13"/>
    </row>
    <row r="313">
      <c r="K313" s="13"/>
    </row>
    <row r="314">
      <c r="K314" s="13"/>
    </row>
    <row r="315">
      <c r="K315" s="13"/>
    </row>
    <row r="316">
      <c r="K316" s="13"/>
    </row>
    <row r="317">
      <c r="K317" s="13"/>
    </row>
    <row r="318">
      <c r="K318" s="13"/>
    </row>
    <row r="319">
      <c r="K319" s="13"/>
    </row>
    <row r="320">
      <c r="K320" s="13"/>
    </row>
    <row r="321">
      <c r="K321" s="13"/>
    </row>
    <row r="322">
      <c r="K322" s="13"/>
    </row>
    <row r="323">
      <c r="K323" s="13"/>
    </row>
    <row r="324">
      <c r="K324" s="13"/>
    </row>
    <row r="325">
      <c r="K325" s="13"/>
    </row>
    <row r="326">
      <c r="K326" s="13"/>
    </row>
    <row r="327">
      <c r="K327" s="13"/>
    </row>
    <row r="328">
      <c r="K328" s="13"/>
    </row>
    <row r="329">
      <c r="K329" s="13"/>
    </row>
    <row r="330">
      <c r="K330" s="13"/>
    </row>
    <row r="331">
      <c r="K331" s="13"/>
    </row>
    <row r="332">
      <c r="K332" s="13"/>
    </row>
    <row r="333">
      <c r="K333" s="13"/>
    </row>
    <row r="334">
      <c r="K334" s="13"/>
    </row>
    <row r="335">
      <c r="K335" s="13"/>
    </row>
    <row r="336">
      <c r="K336" s="13"/>
    </row>
    <row r="337">
      <c r="K337" s="13"/>
    </row>
    <row r="338">
      <c r="K338" s="13"/>
    </row>
    <row r="339">
      <c r="K339" s="13"/>
    </row>
    <row r="340">
      <c r="K340" s="13"/>
    </row>
    <row r="341">
      <c r="K341" s="13"/>
    </row>
    <row r="342">
      <c r="K342" s="13"/>
    </row>
    <row r="343">
      <c r="K343" s="13"/>
    </row>
    <row r="344">
      <c r="K344" s="13"/>
    </row>
    <row r="345">
      <c r="K345" s="13"/>
    </row>
    <row r="346">
      <c r="K346" s="13"/>
    </row>
    <row r="347">
      <c r="K347" s="13"/>
    </row>
    <row r="348">
      <c r="K348" s="13"/>
    </row>
    <row r="349">
      <c r="K349" s="13"/>
    </row>
    <row r="350">
      <c r="K350" s="13"/>
    </row>
    <row r="351">
      <c r="K351" s="13"/>
    </row>
    <row r="352">
      <c r="K352" s="13"/>
    </row>
    <row r="353">
      <c r="K353" s="13"/>
    </row>
    <row r="354">
      <c r="K354" s="13"/>
    </row>
    <row r="355">
      <c r="K355" s="13"/>
    </row>
    <row r="356">
      <c r="K356" s="13"/>
    </row>
    <row r="357">
      <c r="K357" s="13"/>
    </row>
    <row r="358">
      <c r="K358" s="13"/>
    </row>
    <row r="359">
      <c r="K359" s="13"/>
    </row>
    <row r="360">
      <c r="K360" s="13"/>
    </row>
    <row r="361">
      <c r="K361" s="13"/>
    </row>
    <row r="362">
      <c r="K362" s="13"/>
    </row>
    <row r="363">
      <c r="K363" s="13"/>
    </row>
    <row r="364">
      <c r="K364" s="13"/>
    </row>
    <row r="365">
      <c r="K365" s="13"/>
    </row>
    <row r="366">
      <c r="K366" s="13"/>
    </row>
    <row r="367">
      <c r="K367" s="13"/>
    </row>
    <row r="368">
      <c r="K368" s="13"/>
    </row>
    <row r="369">
      <c r="K369" s="13"/>
    </row>
    <row r="370">
      <c r="K370" s="13"/>
    </row>
    <row r="371">
      <c r="K371" s="13"/>
    </row>
    <row r="372">
      <c r="K372" s="13"/>
    </row>
    <row r="373">
      <c r="K373" s="13"/>
    </row>
    <row r="374">
      <c r="K374" s="13"/>
    </row>
    <row r="375">
      <c r="K375" s="13"/>
    </row>
    <row r="376">
      <c r="K376" s="13"/>
    </row>
    <row r="377">
      <c r="K377" s="13"/>
    </row>
    <row r="378">
      <c r="K378" s="13"/>
    </row>
    <row r="379">
      <c r="K379" s="13"/>
    </row>
    <row r="380">
      <c r="K380" s="13"/>
    </row>
    <row r="381">
      <c r="K381" s="13"/>
    </row>
    <row r="382">
      <c r="K382" s="13"/>
    </row>
    <row r="383">
      <c r="K383" s="13"/>
    </row>
    <row r="384">
      <c r="K384" s="13"/>
    </row>
    <row r="385">
      <c r="K385" s="13"/>
    </row>
    <row r="386">
      <c r="K386" s="13"/>
    </row>
    <row r="387">
      <c r="K387" s="13"/>
    </row>
    <row r="388">
      <c r="K388" s="13"/>
    </row>
    <row r="389">
      <c r="K389" s="13"/>
    </row>
    <row r="390">
      <c r="K390" s="13"/>
    </row>
    <row r="391">
      <c r="K391" s="13"/>
    </row>
    <row r="392">
      <c r="K392" s="13"/>
    </row>
    <row r="393">
      <c r="K393" s="13"/>
    </row>
    <row r="394">
      <c r="K394" s="13"/>
    </row>
    <row r="395">
      <c r="K395" s="13"/>
    </row>
    <row r="396">
      <c r="K396" s="13"/>
    </row>
    <row r="397">
      <c r="K397" s="13"/>
    </row>
    <row r="398">
      <c r="K398" s="13"/>
    </row>
    <row r="399">
      <c r="K399" s="13"/>
    </row>
    <row r="400">
      <c r="K400" s="13"/>
    </row>
    <row r="401">
      <c r="K401" s="13"/>
    </row>
    <row r="402">
      <c r="K402" s="13"/>
    </row>
    <row r="403">
      <c r="K403" s="13"/>
    </row>
    <row r="404">
      <c r="K404" s="13"/>
    </row>
    <row r="405">
      <c r="K405" s="13"/>
    </row>
    <row r="406">
      <c r="K406" s="13"/>
    </row>
    <row r="407">
      <c r="K407" s="13"/>
    </row>
    <row r="408">
      <c r="K408" s="13"/>
    </row>
    <row r="409">
      <c r="K409" s="13"/>
    </row>
    <row r="410">
      <c r="K410" s="13"/>
    </row>
    <row r="411">
      <c r="K411" s="13"/>
    </row>
    <row r="412">
      <c r="K412" s="13"/>
    </row>
    <row r="413">
      <c r="K413" s="13"/>
    </row>
    <row r="414">
      <c r="K414" s="13"/>
    </row>
    <row r="415">
      <c r="K415" s="13"/>
    </row>
    <row r="416">
      <c r="K416" s="13"/>
    </row>
    <row r="417">
      <c r="K417" s="13"/>
    </row>
    <row r="418">
      <c r="K418" s="13"/>
    </row>
    <row r="419">
      <c r="K419" s="13"/>
    </row>
    <row r="420">
      <c r="K420" s="13"/>
    </row>
    <row r="421">
      <c r="K421" s="13"/>
    </row>
    <row r="422">
      <c r="K422" s="13"/>
    </row>
    <row r="423">
      <c r="K423" s="13"/>
    </row>
    <row r="424">
      <c r="K424" s="13"/>
    </row>
    <row r="425">
      <c r="K425" s="13"/>
    </row>
    <row r="426">
      <c r="K426" s="13"/>
    </row>
    <row r="427">
      <c r="K427" s="13"/>
    </row>
    <row r="428">
      <c r="K428" s="13"/>
    </row>
    <row r="429">
      <c r="K429" s="13"/>
    </row>
    <row r="430">
      <c r="K430" s="13"/>
    </row>
    <row r="431">
      <c r="K431" s="13"/>
    </row>
    <row r="432">
      <c r="K432" s="13"/>
    </row>
    <row r="433">
      <c r="K433" s="13"/>
    </row>
    <row r="434">
      <c r="K434" s="13"/>
    </row>
    <row r="435">
      <c r="K435" s="13"/>
    </row>
    <row r="436">
      <c r="K436" s="13"/>
    </row>
    <row r="437">
      <c r="K437" s="13"/>
    </row>
    <row r="438">
      <c r="K438" s="13"/>
    </row>
    <row r="439">
      <c r="K439" s="13"/>
    </row>
    <row r="440">
      <c r="K440" s="13"/>
    </row>
    <row r="441">
      <c r="K441" s="13"/>
    </row>
    <row r="442">
      <c r="K442" s="13"/>
    </row>
    <row r="443">
      <c r="K443" s="13"/>
    </row>
    <row r="444">
      <c r="K444" s="13"/>
    </row>
    <row r="445">
      <c r="K445" s="13"/>
    </row>
    <row r="446">
      <c r="K446" s="13"/>
    </row>
    <row r="447">
      <c r="K447" s="13"/>
    </row>
    <row r="448">
      <c r="K448" s="13"/>
    </row>
    <row r="449">
      <c r="K449" s="13"/>
    </row>
    <row r="450">
      <c r="K450" s="13"/>
    </row>
    <row r="451">
      <c r="K451" s="13"/>
    </row>
    <row r="452">
      <c r="K452" s="13"/>
    </row>
    <row r="453">
      <c r="K453" s="13"/>
    </row>
    <row r="454">
      <c r="K454" s="13"/>
    </row>
    <row r="455">
      <c r="K455" s="13"/>
    </row>
    <row r="456">
      <c r="K456" s="13"/>
    </row>
    <row r="457">
      <c r="K457" s="13"/>
    </row>
    <row r="458">
      <c r="K458" s="13"/>
    </row>
    <row r="459">
      <c r="K459" s="13"/>
    </row>
    <row r="460">
      <c r="K460" s="13"/>
    </row>
    <row r="461">
      <c r="K461" s="13"/>
    </row>
    <row r="462">
      <c r="K462" s="13"/>
    </row>
    <row r="463">
      <c r="K463" s="13"/>
    </row>
    <row r="464">
      <c r="K464" s="13"/>
    </row>
    <row r="465">
      <c r="K465" s="13"/>
    </row>
    <row r="466">
      <c r="K466" s="13"/>
    </row>
    <row r="467">
      <c r="K467" s="13"/>
    </row>
    <row r="468">
      <c r="K468" s="13"/>
    </row>
    <row r="469">
      <c r="K469" s="13"/>
    </row>
    <row r="470">
      <c r="K470" s="13"/>
    </row>
    <row r="471">
      <c r="K471" s="13"/>
    </row>
    <row r="472">
      <c r="K472" s="13"/>
    </row>
    <row r="473">
      <c r="K473" s="13"/>
    </row>
    <row r="474">
      <c r="K474" s="13"/>
    </row>
    <row r="475">
      <c r="K475" s="13"/>
    </row>
    <row r="476">
      <c r="K476" s="13"/>
    </row>
    <row r="477">
      <c r="K477" s="13"/>
    </row>
    <row r="478">
      <c r="K478" s="13"/>
    </row>
    <row r="479">
      <c r="K479" s="13"/>
    </row>
    <row r="480">
      <c r="K480" s="13"/>
    </row>
    <row r="481">
      <c r="K481" s="13"/>
    </row>
    <row r="482">
      <c r="K482" s="13"/>
    </row>
    <row r="483">
      <c r="K483" s="13"/>
    </row>
    <row r="484">
      <c r="K484" s="13"/>
    </row>
    <row r="485">
      <c r="K485" s="13"/>
    </row>
    <row r="486">
      <c r="K486" s="13"/>
    </row>
    <row r="487">
      <c r="K487" s="13"/>
    </row>
    <row r="488">
      <c r="K488" s="13"/>
    </row>
    <row r="489">
      <c r="K489" s="13"/>
    </row>
    <row r="490">
      <c r="K490" s="13"/>
    </row>
    <row r="491">
      <c r="K491" s="13"/>
    </row>
    <row r="492">
      <c r="K492" s="13"/>
    </row>
    <row r="493">
      <c r="K493" s="13"/>
    </row>
    <row r="494">
      <c r="K494" s="13"/>
    </row>
    <row r="495">
      <c r="K495" s="13"/>
    </row>
    <row r="496">
      <c r="K496" s="13"/>
    </row>
    <row r="497">
      <c r="K497" s="13"/>
    </row>
    <row r="498">
      <c r="K498" s="13"/>
    </row>
    <row r="499">
      <c r="K499" s="13"/>
    </row>
    <row r="500">
      <c r="K500" s="13"/>
    </row>
    <row r="501">
      <c r="K501" s="13"/>
    </row>
    <row r="502">
      <c r="K502" s="13"/>
    </row>
    <row r="503">
      <c r="K503" s="13"/>
    </row>
    <row r="504">
      <c r="K504" s="13"/>
    </row>
    <row r="505">
      <c r="K505" s="13"/>
    </row>
    <row r="506">
      <c r="K506" s="13"/>
    </row>
    <row r="507">
      <c r="K507" s="13"/>
    </row>
    <row r="508">
      <c r="K508" s="13"/>
    </row>
    <row r="509">
      <c r="K509" s="13"/>
    </row>
    <row r="510">
      <c r="K510" s="13"/>
    </row>
    <row r="511">
      <c r="K511" s="13"/>
    </row>
    <row r="512">
      <c r="K512" s="13"/>
    </row>
    <row r="513">
      <c r="K513" s="13"/>
    </row>
    <row r="514">
      <c r="K514" s="13"/>
    </row>
    <row r="515">
      <c r="K515" s="13"/>
    </row>
    <row r="516">
      <c r="K516" s="13"/>
    </row>
    <row r="517">
      <c r="K517" s="13"/>
    </row>
    <row r="518">
      <c r="K518" s="13"/>
    </row>
    <row r="519">
      <c r="K519" s="13"/>
    </row>
    <row r="520">
      <c r="K520" s="13"/>
    </row>
    <row r="521">
      <c r="K521" s="13"/>
    </row>
    <row r="522">
      <c r="K522" s="13"/>
    </row>
    <row r="523">
      <c r="K523" s="13"/>
    </row>
    <row r="524">
      <c r="K524" s="13"/>
    </row>
    <row r="525">
      <c r="K525" s="13"/>
    </row>
    <row r="526">
      <c r="K526" s="13"/>
    </row>
    <row r="527">
      <c r="K527" s="13"/>
    </row>
    <row r="528">
      <c r="K528" s="13"/>
    </row>
    <row r="529">
      <c r="K529" s="13"/>
    </row>
    <row r="530">
      <c r="K530" s="13"/>
    </row>
    <row r="531">
      <c r="K531" s="13"/>
    </row>
    <row r="532">
      <c r="K532" s="13"/>
    </row>
    <row r="533">
      <c r="K533" s="13"/>
    </row>
    <row r="534">
      <c r="K534" s="13"/>
    </row>
    <row r="535">
      <c r="K535" s="13"/>
    </row>
    <row r="536">
      <c r="K536" s="13"/>
    </row>
    <row r="537">
      <c r="K537" s="13"/>
    </row>
    <row r="538">
      <c r="K538" s="13"/>
    </row>
    <row r="539">
      <c r="K539" s="13"/>
    </row>
    <row r="540">
      <c r="K540" s="13"/>
    </row>
    <row r="541">
      <c r="K541" s="13"/>
    </row>
    <row r="542">
      <c r="K542" s="13"/>
    </row>
    <row r="543">
      <c r="K543" s="13"/>
    </row>
    <row r="544">
      <c r="K544" s="13"/>
    </row>
    <row r="545">
      <c r="K545" s="13"/>
    </row>
    <row r="546">
      <c r="K546" s="13"/>
    </row>
    <row r="547">
      <c r="K547" s="13"/>
    </row>
    <row r="548">
      <c r="K548" s="13"/>
    </row>
    <row r="549">
      <c r="K549" s="13"/>
    </row>
    <row r="550">
      <c r="K550" s="13"/>
    </row>
    <row r="551">
      <c r="K551" s="13"/>
    </row>
    <row r="552">
      <c r="K552" s="13"/>
    </row>
    <row r="553">
      <c r="K553" s="13"/>
    </row>
    <row r="554">
      <c r="K554" s="13"/>
    </row>
    <row r="555">
      <c r="K555" s="13"/>
    </row>
    <row r="556">
      <c r="K556" s="13"/>
    </row>
    <row r="557">
      <c r="K557" s="13"/>
    </row>
    <row r="558">
      <c r="K558" s="13"/>
    </row>
    <row r="559">
      <c r="K559" s="13"/>
    </row>
    <row r="560">
      <c r="K560" s="13"/>
    </row>
    <row r="561">
      <c r="K561" s="13"/>
    </row>
    <row r="562">
      <c r="K562" s="13"/>
    </row>
    <row r="563">
      <c r="K563" s="13"/>
    </row>
    <row r="564">
      <c r="K564" s="13"/>
    </row>
    <row r="565">
      <c r="K565" s="13"/>
    </row>
    <row r="566">
      <c r="K566" s="13"/>
    </row>
    <row r="567">
      <c r="K567" s="13"/>
    </row>
    <row r="568">
      <c r="K568" s="13"/>
    </row>
    <row r="569">
      <c r="K569" s="13"/>
    </row>
    <row r="570">
      <c r="K570" s="13"/>
    </row>
    <row r="571">
      <c r="K571" s="13"/>
    </row>
    <row r="572">
      <c r="K572" s="13"/>
    </row>
    <row r="573">
      <c r="K573" s="13"/>
    </row>
    <row r="574">
      <c r="K574" s="13"/>
    </row>
    <row r="575">
      <c r="K575" s="13"/>
    </row>
    <row r="576">
      <c r="K576" s="13"/>
    </row>
    <row r="577">
      <c r="K577" s="13"/>
    </row>
    <row r="578">
      <c r="K578" s="13"/>
    </row>
    <row r="579">
      <c r="K579" s="13"/>
    </row>
    <row r="580">
      <c r="K580" s="13"/>
    </row>
    <row r="581">
      <c r="K581" s="13"/>
    </row>
    <row r="582">
      <c r="K582" s="13"/>
    </row>
    <row r="583">
      <c r="K583" s="13"/>
    </row>
    <row r="584">
      <c r="K584" s="13"/>
    </row>
    <row r="585">
      <c r="K585" s="13"/>
    </row>
    <row r="586">
      <c r="K586" s="13"/>
    </row>
    <row r="587">
      <c r="K587" s="13"/>
    </row>
    <row r="588">
      <c r="K588" s="13"/>
    </row>
    <row r="589">
      <c r="K589" s="13"/>
    </row>
    <row r="590">
      <c r="K590" s="13"/>
    </row>
    <row r="591">
      <c r="K591" s="13"/>
    </row>
    <row r="592">
      <c r="K592" s="13"/>
    </row>
    <row r="593">
      <c r="K593" s="13"/>
    </row>
    <row r="594">
      <c r="K594" s="13"/>
    </row>
    <row r="595">
      <c r="K595" s="13"/>
    </row>
    <row r="596">
      <c r="K596" s="13"/>
    </row>
    <row r="597">
      <c r="K597" s="13"/>
    </row>
    <row r="598">
      <c r="K598" s="13"/>
    </row>
    <row r="599">
      <c r="K599" s="13"/>
    </row>
    <row r="600">
      <c r="K600" s="13"/>
    </row>
    <row r="601">
      <c r="K601" s="13"/>
    </row>
    <row r="602">
      <c r="K602" s="13"/>
    </row>
    <row r="603">
      <c r="K603" s="13"/>
    </row>
    <row r="604">
      <c r="K604" s="13"/>
    </row>
    <row r="605">
      <c r="K605" s="13"/>
    </row>
    <row r="606">
      <c r="K606" s="13"/>
    </row>
    <row r="607">
      <c r="K607" s="13"/>
    </row>
    <row r="608">
      <c r="K608" s="13"/>
    </row>
    <row r="609">
      <c r="K609" s="13"/>
    </row>
    <row r="610">
      <c r="K610" s="13"/>
    </row>
    <row r="611">
      <c r="K611" s="13"/>
    </row>
    <row r="612">
      <c r="K612" s="13"/>
    </row>
    <row r="613">
      <c r="K613" s="13"/>
    </row>
    <row r="614">
      <c r="K614" s="13"/>
    </row>
    <row r="615">
      <c r="K615" s="13"/>
    </row>
    <row r="616">
      <c r="K616" s="13"/>
    </row>
    <row r="617">
      <c r="K617" s="13"/>
    </row>
    <row r="618">
      <c r="K618" s="13"/>
    </row>
    <row r="619">
      <c r="K619" s="13"/>
    </row>
    <row r="620">
      <c r="K620" s="13"/>
    </row>
    <row r="621">
      <c r="K621" s="13"/>
    </row>
    <row r="622">
      <c r="K622" s="13"/>
    </row>
    <row r="623">
      <c r="K623" s="13"/>
    </row>
    <row r="624">
      <c r="K624" s="13"/>
    </row>
    <row r="625">
      <c r="K625" s="13"/>
    </row>
    <row r="626">
      <c r="K626" s="13"/>
    </row>
    <row r="627">
      <c r="K627" s="13"/>
    </row>
    <row r="628">
      <c r="K628" s="13"/>
    </row>
    <row r="629">
      <c r="K629" s="13"/>
    </row>
    <row r="630">
      <c r="K630" s="13"/>
    </row>
    <row r="631">
      <c r="K631" s="13"/>
    </row>
    <row r="632">
      <c r="K632" s="13"/>
    </row>
    <row r="633">
      <c r="K633" s="13"/>
    </row>
    <row r="634">
      <c r="K634" s="13"/>
    </row>
    <row r="635">
      <c r="K635" s="13"/>
    </row>
    <row r="636">
      <c r="K636" s="13"/>
    </row>
    <row r="637">
      <c r="K637" s="13"/>
    </row>
    <row r="638">
      <c r="K638" s="13"/>
    </row>
    <row r="639">
      <c r="K639" s="13"/>
    </row>
    <row r="640">
      <c r="K640" s="13"/>
    </row>
    <row r="641">
      <c r="K641" s="13"/>
    </row>
    <row r="642">
      <c r="K642" s="13"/>
    </row>
    <row r="643">
      <c r="K643" s="13"/>
    </row>
    <row r="644">
      <c r="K644" s="13"/>
    </row>
    <row r="645">
      <c r="K645" s="13"/>
    </row>
    <row r="646">
      <c r="K646" s="13"/>
    </row>
    <row r="647">
      <c r="K647" s="13"/>
    </row>
    <row r="648">
      <c r="K648" s="13"/>
    </row>
    <row r="649">
      <c r="K649" s="13"/>
    </row>
    <row r="650">
      <c r="K650" s="13"/>
    </row>
    <row r="651">
      <c r="K651" s="13"/>
    </row>
    <row r="652">
      <c r="K652" s="13"/>
    </row>
    <row r="653">
      <c r="K653" s="13"/>
    </row>
    <row r="654">
      <c r="K654" s="13"/>
    </row>
    <row r="655">
      <c r="K655" s="13"/>
    </row>
    <row r="656">
      <c r="K656" s="13"/>
    </row>
    <row r="657">
      <c r="K657" s="13"/>
    </row>
    <row r="658">
      <c r="K658" s="13"/>
    </row>
    <row r="659">
      <c r="K659" s="13"/>
    </row>
    <row r="660">
      <c r="K660" s="13"/>
    </row>
    <row r="661">
      <c r="K661" s="13"/>
    </row>
    <row r="662">
      <c r="K662" s="13"/>
    </row>
    <row r="663">
      <c r="K663" s="13"/>
    </row>
    <row r="664">
      <c r="K664" s="13"/>
    </row>
    <row r="665">
      <c r="K665" s="13"/>
    </row>
    <row r="666">
      <c r="K666" s="13"/>
    </row>
    <row r="667">
      <c r="K667" s="13"/>
    </row>
    <row r="668">
      <c r="K668" s="13"/>
    </row>
    <row r="669">
      <c r="K669" s="13"/>
    </row>
    <row r="670">
      <c r="K670" s="13"/>
    </row>
    <row r="671">
      <c r="K671" s="13"/>
    </row>
    <row r="672">
      <c r="K672" s="13"/>
    </row>
    <row r="673">
      <c r="K673" s="13"/>
    </row>
    <row r="674">
      <c r="K674" s="13"/>
    </row>
    <row r="675">
      <c r="K675" s="13"/>
    </row>
    <row r="676">
      <c r="K676" s="13"/>
    </row>
    <row r="677">
      <c r="K677" s="13"/>
    </row>
    <row r="678">
      <c r="K678" s="13"/>
    </row>
    <row r="679">
      <c r="K679" s="13"/>
    </row>
    <row r="680">
      <c r="K680" s="13"/>
    </row>
    <row r="681">
      <c r="K681" s="13"/>
    </row>
    <row r="682">
      <c r="K682" s="13"/>
    </row>
    <row r="683">
      <c r="K683" s="13"/>
    </row>
    <row r="684">
      <c r="K684" s="13"/>
    </row>
    <row r="685">
      <c r="K685" s="13"/>
    </row>
    <row r="686">
      <c r="K686" s="13"/>
    </row>
    <row r="687">
      <c r="K687" s="13"/>
    </row>
    <row r="688">
      <c r="K688" s="13"/>
    </row>
    <row r="689">
      <c r="K689" s="13"/>
    </row>
    <row r="690">
      <c r="K690" s="13"/>
    </row>
    <row r="691">
      <c r="K691" s="13"/>
    </row>
    <row r="692">
      <c r="K692" s="13"/>
    </row>
    <row r="693">
      <c r="K693" s="13"/>
    </row>
    <row r="694">
      <c r="K694" s="13"/>
    </row>
    <row r="695">
      <c r="K695" s="13"/>
    </row>
    <row r="696">
      <c r="K696" s="13"/>
    </row>
    <row r="697">
      <c r="K697" s="13"/>
    </row>
    <row r="698">
      <c r="K698" s="13"/>
    </row>
    <row r="699">
      <c r="K699" s="13"/>
    </row>
    <row r="700">
      <c r="K700" s="13"/>
    </row>
    <row r="701">
      <c r="K701" s="13"/>
    </row>
    <row r="702">
      <c r="K702" s="13"/>
    </row>
    <row r="703">
      <c r="K703" s="13"/>
    </row>
    <row r="704">
      <c r="K704" s="13"/>
    </row>
    <row r="705">
      <c r="K705" s="13"/>
    </row>
    <row r="706">
      <c r="K706" s="13"/>
    </row>
    <row r="707">
      <c r="K707" s="13"/>
    </row>
    <row r="708">
      <c r="K708" s="13"/>
    </row>
    <row r="709">
      <c r="K709" s="13"/>
    </row>
    <row r="710">
      <c r="K710" s="13"/>
    </row>
    <row r="711">
      <c r="K711" s="13"/>
    </row>
    <row r="712">
      <c r="K712" s="13"/>
    </row>
    <row r="713">
      <c r="K713" s="13"/>
    </row>
    <row r="714">
      <c r="K714" s="13"/>
    </row>
    <row r="715">
      <c r="K715" s="13"/>
    </row>
    <row r="716">
      <c r="K716" s="13"/>
    </row>
    <row r="717">
      <c r="K717" s="13"/>
    </row>
    <row r="718">
      <c r="K718" s="13"/>
    </row>
    <row r="719">
      <c r="K719" s="13"/>
    </row>
    <row r="720">
      <c r="K720" s="13"/>
    </row>
    <row r="721">
      <c r="K721" s="13"/>
    </row>
    <row r="722">
      <c r="K722" s="13"/>
    </row>
    <row r="723">
      <c r="K723" s="13"/>
    </row>
    <row r="724">
      <c r="K724" s="13"/>
    </row>
    <row r="725">
      <c r="K725" s="13"/>
    </row>
    <row r="726">
      <c r="K726" s="13"/>
    </row>
    <row r="727">
      <c r="K727" s="13"/>
    </row>
    <row r="728">
      <c r="K728" s="13"/>
    </row>
    <row r="729">
      <c r="K729" s="13"/>
    </row>
    <row r="730">
      <c r="K730" s="13"/>
    </row>
    <row r="731">
      <c r="K731" s="13"/>
    </row>
    <row r="732">
      <c r="K732" s="13"/>
    </row>
    <row r="733">
      <c r="K733" s="13"/>
    </row>
    <row r="734">
      <c r="K734" s="13"/>
    </row>
    <row r="735">
      <c r="K735" s="13"/>
    </row>
    <row r="736">
      <c r="K736" s="13"/>
    </row>
    <row r="737">
      <c r="K737" s="13"/>
    </row>
    <row r="738">
      <c r="K738" s="13"/>
    </row>
    <row r="739">
      <c r="K739" s="13"/>
    </row>
    <row r="740">
      <c r="K740" s="13"/>
    </row>
    <row r="741">
      <c r="K741" s="13"/>
    </row>
    <row r="742">
      <c r="K742" s="13"/>
    </row>
    <row r="743">
      <c r="K743" s="13"/>
    </row>
    <row r="744">
      <c r="K744" s="13"/>
    </row>
    <row r="745">
      <c r="K745" s="13"/>
    </row>
    <row r="746">
      <c r="K746" s="13"/>
    </row>
    <row r="747">
      <c r="K747" s="13"/>
    </row>
    <row r="748">
      <c r="K748" s="13"/>
    </row>
    <row r="749">
      <c r="K749" s="13"/>
    </row>
    <row r="750">
      <c r="K750" s="13"/>
    </row>
    <row r="751">
      <c r="K751" s="13"/>
    </row>
    <row r="752">
      <c r="K752" s="13"/>
    </row>
    <row r="753">
      <c r="K753" s="13"/>
    </row>
    <row r="754">
      <c r="K754" s="13"/>
    </row>
    <row r="755">
      <c r="K755" s="13"/>
    </row>
    <row r="756">
      <c r="K756" s="13"/>
    </row>
    <row r="757">
      <c r="K757" s="13"/>
    </row>
    <row r="758">
      <c r="K758" s="13"/>
    </row>
    <row r="759">
      <c r="K759" s="13"/>
    </row>
    <row r="760">
      <c r="K760" s="13"/>
    </row>
    <row r="761">
      <c r="K761" s="13"/>
    </row>
    <row r="762">
      <c r="K762" s="13"/>
    </row>
    <row r="763">
      <c r="K763" s="13"/>
    </row>
    <row r="764">
      <c r="K764" s="13"/>
    </row>
    <row r="765">
      <c r="K765" s="13"/>
    </row>
    <row r="766">
      <c r="K766" s="13"/>
    </row>
    <row r="767">
      <c r="K767" s="13"/>
    </row>
    <row r="768">
      <c r="K768" s="13"/>
    </row>
    <row r="769">
      <c r="K769" s="13"/>
    </row>
    <row r="770">
      <c r="K770" s="13"/>
    </row>
    <row r="771">
      <c r="K771" s="13"/>
    </row>
    <row r="772">
      <c r="K772" s="13"/>
    </row>
    <row r="773">
      <c r="K773" s="13"/>
    </row>
    <row r="774">
      <c r="K774" s="13"/>
    </row>
    <row r="775">
      <c r="K775" s="13"/>
    </row>
    <row r="776">
      <c r="K776" s="13"/>
    </row>
    <row r="777">
      <c r="K777" s="13"/>
    </row>
    <row r="778">
      <c r="K778" s="13"/>
    </row>
    <row r="779">
      <c r="K779" s="13"/>
    </row>
    <row r="780">
      <c r="K780" s="13"/>
    </row>
    <row r="781">
      <c r="K781" s="13"/>
    </row>
    <row r="782">
      <c r="K782" s="13"/>
    </row>
    <row r="783">
      <c r="K783" s="13"/>
    </row>
    <row r="784">
      <c r="K784" s="13"/>
    </row>
    <row r="785">
      <c r="K785" s="13"/>
    </row>
    <row r="786">
      <c r="K786" s="13"/>
    </row>
    <row r="787">
      <c r="K787" s="13"/>
    </row>
    <row r="788">
      <c r="K788" s="13"/>
    </row>
    <row r="789">
      <c r="K789" s="13"/>
    </row>
    <row r="790">
      <c r="K790" s="13"/>
    </row>
    <row r="791">
      <c r="K791" s="13"/>
    </row>
    <row r="792">
      <c r="K792" s="13"/>
    </row>
    <row r="793">
      <c r="K793" s="13"/>
    </row>
    <row r="794">
      <c r="K794" s="13"/>
    </row>
    <row r="795">
      <c r="K795" s="13"/>
    </row>
    <row r="796">
      <c r="K796" s="13"/>
    </row>
    <row r="797">
      <c r="K797" s="13"/>
    </row>
    <row r="798">
      <c r="K798" s="13"/>
    </row>
    <row r="799">
      <c r="K799" s="13"/>
    </row>
    <row r="800">
      <c r="K800" s="13"/>
    </row>
    <row r="801">
      <c r="K801" s="13"/>
    </row>
    <row r="802">
      <c r="K802" s="13"/>
    </row>
    <row r="803">
      <c r="K803" s="13"/>
    </row>
    <row r="804">
      <c r="K804" s="13"/>
    </row>
    <row r="805">
      <c r="K805" s="13"/>
    </row>
    <row r="806">
      <c r="K806" s="13"/>
    </row>
    <row r="807">
      <c r="K807" s="13"/>
    </row>
    <row r="808">
      <c r="K808" s="13"/>
    </row>
    <row r="809">
      <c r="K809" s="13"/>
    </row>
    <row r="810">
      <c r="K810" s="13"/>
    </row>
    <row r="811">
      <c r="K811" s="13"/>
    </row>
    <row r="812">
      <c r="K812" s="13"/>
    </row>
    <row r="813">
      <c r="K813" s="13"/>
    </row>
    <row r="814">
      <c r="K814" s="13"/>
    </row>
    <row r="815">
      <c r="K815" s="13"/>
    </row>
    <row r="816">
      <c r="K816" s="13"/>
    </row>
    <row r="817">
      <c r="K817" s="13"/>
    </row>
    <row r="818">
      <c r="K818" s="13"/>
    </row>
    <row r="819">
      <c r="K819" s="13"/>
    </row>
    <row r="820">
      <c r="K820" s="13"/>
    </row>
    <row r="821">
      <c r="K821" s="13"/>
    </row>
    <row r="822">
      <c r="K822" s="13"/>
    </row>
    <row r="823">
      <c r="K823" s="13"/>
    </row>
    <row r="824">
      <c r="K824" s="13"/>
    </row>
    <row r="825">
      <c r="K825" s="13"/>
    </row>
    <row r="826">
      <c r="K826" s="13"/>
    </row>
    <row r="827">
      <c r="K827" s="13"/>
    </row>
    <row r="828">
      <c r="K828" s="13"/>
    </row>
    <row r="829">
      <c r="K829" s="13"/>
    </row>
    <row r="830">
      <c r="K830" s="13"/>
    </row>
    <row r="831">
      <c r="K831" s="13"/>
    </row>
    <row r="832">
      <c r="K832" s="13"/>
    </row>
    <row r="833">
      <c r="K833" s="13"/>
    </row>
    <row r="834">
      <c r="K834" s="13"/>
    </row>
    <row r="835">
      <c r="K835" s="13"/>
    </row>
    <row r="836">
      <c r="K836" s="13"/>
    </row>
    <row r="837">
      <c r="K837" s="13"/>
    </row>
    <row r="838">
      <c r="K838" s="13"/>
    </row>
    <row r="839">
      <c r="K839" s="13"/>
    </row>
    <row r="840">
      <c r="K840" s="13"/>
    </row>
    <row r="841">
      <c r="K841" s="13"/>
    </row>
    <row r="842">
      <c r="K842" s="13"/>
    </row>
    <row r="843">
      <c r="K843" s="13"/>
    </row>
    <row r="844">
      <c r="K844" s="13"/>
    </row>
    <row r="845">
      <c r="K845" s="13"/>
    </row>
    <row r="846">
      <c r="K846" s="13"/>
    </row>
    <row r="847">
      <c r="K847" s="13"/>
    </row>
    <row r="848">
      <c r="K848" s="13"/>
    </row>
    <row r="849">
      <c r="K849" s="13"/>
    </row>
    <row r="850">
      <c r="K850" s="13"/>
    </row>
    <row r="851">
      <c r="K851" s="13"/>
    </row>
    <row r="852">
      <c r="K852" s="13"/>
    </row>
    <row r="853">
      <c r="K853" s="13"/>
    </row>
    <row r="854">
      <c r="K854" s="13"/>
    </row>
    <row r="855">
      <c r="K855" s="13"/>
    </row>
    <row r="856">
      <c r="K856" s="13"/>
    </row>
    <row r="857">
      <c r="K857" s="13"/>
    </row>
    <row r="858">
      <c r="K858" s="13"/>
    </row>
    <row r="859">
      <c r="K859" s="13"/>
    </row>
    <row r="860">
      <c r="K860" s="13"/>
    </row>
    <row r="861">
      <c r="K861" s="13"/>
    </row>
    <row r="862">
      <c r="K862" s="13"/>
    </row>
    <row r="863">
      <c r="K863" s="13"/>
    </row>
    <row r="864">
      <c r="K864" s="13"/>
    </row>
    <row r="865">
      <c r="K865" s="13"/>
    </row>
    <row r="866">
      <c r="K866" s="13"/>
    </row>
    <row r="867">
      <c r="K867" s="13"/>
    </row>
    <row r="868">
      <c r="K868" s="13"/>
    </row>
    <row r="869">
      <c r="K869" s="13"/>
    </row>
    <row r="870">
      <c r="K870" s="13"/>
    </row>
    <row r="871">
      <c r="K871" s="13"/>
    </row>
    <row r="872">
      <c r="K872" s="13"/>
    </row>
    <row r="873">
      <c r="K873" s="13"/>
    </row>
    <row r="874">
      <c r="K874" s="13"/>
    </row>
    <row r="875">
      <c r="K875" s="13"/>
    </row>
    <row r="876">
      <c r="K876" s="13"/>
    </row>
    <row r="877">
      <c r="K877" s="13"/>
    </row>
    <row r="878">
      <c r="K878" s="13"/>
    </row>
    <row r="879">
      <c r="K879" s="13"/>
    </row>
    <row r="880">
      <c r="K880" s="13"/>
    </row>
    <row r="881">
      <c r="K881" s="13"/>
    </row>
    <row r="882">
      <c r="K882" s="13"/>
    </row>
    <row r="883">
      <c r="K883" s="13"/>
    </row>
    <row r="884">
      <c r="K884" s="13"/>
    </row>
    <row r="885">
      <c r="K885" s="13"/>
    </row>
    <row r="886">
      <c r="K886" s="13"/>
    </row>
    <row r="887">
      <c r="K887" s="13"/>
    </row>
    <row r="888">
      <c r="K888" s="13"/>
    </row>
    <row r="889">
      <c r="K889" s="13"/>
    </row>
    <row r="890">
      <c r="K890" s="13"/>
    </row>
    <row r="891">
      <c r="K891" s="13"/>
    </row>
    <row r="892">
      <c r="K892" s="13"/>
    </row>
    <row r="893">
      <c r="K893" s="13"/>
    </row>
    <row r="894">
      <c r="K894" s="13"/>
    </row>
    <row r="895">
      <c r="K895" s="13"/>
    </row>
    <row r="896">
      <c r="K896" s="13"/>
    </row>
    <row r="897">
      <c r="K897" s="13"/>
    </row>
    <row r="898">
      <c r="K898" s="13"/>
    </row>
    <row r="899">
      <c r="K899" s="13"/>
    </row>
    <row r="900">
      <c r="K900" s="13"/>
    </row>
    <row r="901">
      <c r="K901" s="13"/>
    </row>
    <row r="902">
      <c r="K902" s="13"/>
    </row>
    <row r="903">
      <c r="K903" s="13"/>
    </row>
    <row r="904">
      <c r="K904" s="13"/>
    </row>
    <row r="905">
      <c r="K905" s="13"/>
    </row>
    <row r="906">
      <c r="K906" s="13"/>
    </row>
    <row r="907">
      <c r="K907" s="13"/>
    </row>
    <row r="908">
      <c r="K908" s="13"/>
    </row>
    <row r="909">
      <c r="K909" s="13"/>
    </row>
    <row r="910">
      <c r="K910" s="13"/>
    </row>
    <row r="911">
      <c r="K911" s="13"/>
    </row>
    <row r="912">
      <c r="K912" s="13"/>
    </row>
    <row r="913">
      <c r="K913" s="13"/>
    </row>
    <row r="914">
      <c r="K914" s="13"/>
    </row>
    <row r="915">
      <c r="K915" s="13"/>
    </row>
    <row r="916">
      <c r="K916" s="13"/>
    </row>
    <row r="917">
      <c r="K917" s="13"/>
    </row>
    <row r="918">
      <c r="K918" s="13"/>
    </row>
    <row r="919">
      <c r="K919" s="13"/>
    </row>
    <row r="920">
      <c r="K920" s="13"/>
    </row>
    <row r="921">
      <c r="K921" s="13"/>
    </row>
    <row r="922">
      <c r="K922" s="13"/>
    </row>
    <row r="923">
      <c r="K923" s="13"/>
    </row>
    <row r="924">
      <c r="K924" s="13"/>
    </row>
    <row r="925">
      <c r="K925" s="13"/>
    </row>
    <row r="926">
      <c r="K926" s="13"/>
    </row>
    <row r="927">
      <c r="K927" s="13"/>
    </row>
    <row r="928">
      <c r="K928" s="13"/>
    </row>
    <row r="929">
      <c r="K929" s="13"/>
    </row>
    <row r="930">
      <c r="K930" s="13"/>
    </row>
    <row r="931">
      <c r="K931" s="13"/>
    </row>
    <row r="932">
      <c r="K932" s="13"/>
    </row>
    <row r="933">
      <c r="K933" s="13"/>
    </row>
    <row r="934">
      <c r="K934" s="13"/>
    </row>
    <row r="935">
      <c r="K935" s="13"/>
    </row>
    <row r="936">
      <c r="K936" s="13"/>
    </row>
    <row r="937">
      <c r="K937" s="13"/>
    </row>
    <row r="938">
      <c r="K938" s="13"/>
    </row>
    <row r="939">
      <c r="K939" s="13"/>
    </row>
    <row r="940">
      <c r="K940" s="13"/>
    </row>
    <row r="941">
      <c r="K941" s="13"/>
    </row>
    <row r="942">
      <c r="K942" s="13"/>
    </row>
    <row r="943">
      <c r="K943" s="13"/>
    </row>
    <row r="944">
      <c r="K944" s="13"/>
    </row>
    <row r="945">
      <c r="K945" s="13"/>
    </row>
    <row r="946">
      <c r="K946" s="13"/>
    </row>
    <row r="947">
      <c r="K947" s="13"/>
    </row>
    <row r="948">
      <c r="K948" s="13"/>
    </row>
    <row r="949">
      <c r="K949" s="13"/>
    </row>
    <row r="950">
      <c r="K950" s="13"/>
    </row>
    <row r="951">
      <c r="K951" s="13"/>
    </row>
    <row r="952">
      <c r="K952" s="13"/>
    </row>
    <row r="953">
      <c r="K953" s="13"/>
    </row>
    <row r="954">
      <c r="K954" s="13"/>
    </row>
    <row r="955">
      <c r="K955" s="13"/>
    </row>
    <row r="956">
      <c r="K956" s="13"/>
    </row>
    <row r="957">
      <c r="K957" s="13"/>
    </row>
    <row r="958">
      <c r="K958" s="13"/>
    </row>
    <row r="959">
      <c r="K959" s="13"/>
    </row>
    <row r="960">
      <c r="K960" s="13"/>
    </row>
    <row r="961">
      <c r="K961" s="13"/>
    </row>
    <row r="962">
      <c r="K962" s="13"/>
    </row>
    <row r="963">
      <c r="K963" s="13"/>
    </row>
    <row r="964">
      <c r="K964" s="13"/>
    </row>
    <row r="965">
      <c r="K965" s="13"/>
    </row>
    <row r="966">
      <c r="K966" s="13"/>
    </row>
    <row r="967">
      <c r="K967" s="13"/>
    </row>
    <row r="968">
      <c r="K968" s="13"/>
    </row>
    <row r="969">
      <c r="K969" s="13"/>
    </row>
    <row r="970">
      <c r="K970" s="13"/>
    </row>
    <row r="971">
      <c r="K971" s="13"/>
    </row>
    <row r="972">
      <c r="K972" s="13"/>
    </row>
    <row r="973">
      <c r="K973" s="13"/>
    </row>
    <row r="974">
      <c r="K974" s="13"/>
    </row>
    <row r="975">
      <c r="K975" s="13"/>
    </row>
    <row r="976">
      <c r="K976" s="13"/>
    </row>
    <row r="977">
      <c r="K977" s="13"/>
    </row>
    <row r="978">
      <c r="K978" s="13"/>
    </row>
    <row r="979">
      <c r="K979" s="13"/>
    </row>
    <row r="980">
      <c r="K980" s="13"/>
    </row>
    <row r="981">
      <c r="K981" s="13"/>
    </row>
    <row r="982">
      <c r="K982" s="13"/>
    </row>
    <row r="983">
      <c r="K983" s="13"/>
    </row>
    <row r="984">
      <c r="K984" s="13"/>
    </row>
    <row r="985">
      <c r="K985" s="13"/>
    </row>
    <row r="986">
      <c r="K986" s="13"/>
    </row>
    <row r="987">
      <c r="K987" s="13"/>
    </row>
    <row r="988">
      <c r="K988" s="13"/>
    </row>
    <row r="989">
      <c r="K989" s="13"/>
    </row>
    <row r="990">
      <c r="K990" s="13"/>
    </row>
    <row r="991">
      <c r="K991" s="13"/>
    </row>
    <row r="992">
      <c r="K992" s="13"/>
    </row>
    <row r="993">
      <c r="K993" s="13"/>
    </row>
    <row r="994">
      <c r="K994" s="13"/>
    </row>
    <row r="995">
      <c r="K995" s="13"/>
    </row>
    <row r="996">
      <c r="K996" s="13"/>
    </row>
    <row r="997">
      <c r="K997" s="13"/>
    </row>
    <row r="998">
      <c r="K998" s="13"/>
    </row>
    <row r="999">
      <c r="K999" s="13"/>
    </row>
    <row r="1000">
      <c r="K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612</v>
      </c>
      <c r="K1" s="2" t="s">
        <v>613</v>
      </c>
      <c r="L1" s="11"/>
      <c r="M1" s="11"/>
      <c r="N1" s="11"/>
      <c r="O1" s="11"/>
      <c r="P1" s="11"/>
      <c r="Q1" s="11"/>
      <c r="R1" s="11"/>
      <c r="S1" s="11"/>
      <c r="T1" s="11"/>
    </row>
    <row r="2">
      <c r="A2" s="14" t="str">
        <f>IFERROR(__xludf.DUMMYFUNCTION("QUERY(
  JudgeInfo!A2:U1000,
  ""select A,B,C,D,E,F,G,H,I,T, L 
   where U = 'ARLINGTON SITE2'
   order by L asc"",
  0
)"),"ACTIVE")</f>
        <v>ACTIVE</v>
      </c>
      <c r="B2" s="12" t="str">
        <f>IFERROR(__xludf.DUMMYFUNCTION("""COMPUTED_VALUE"""),"ACTIVE JUDGES CERTIFIED ")</f>
        <v>ACTIVE JUDGES CERTIFIED </v>
      </c>
      <c r="C2" s="12">
        <f>IFERROR(__xludf.DUMMYFUNCTION("""COMPUTED_VALUE"""),1.0)</f>
        <v>1</v>
      </c>
      <c r="D2" s="12" t="str">
        <f>IFERROR(__xludf.DUMMYFUNCTION("""COMPUTED_VALUE"""),"Amanda")</f>
        <v>Amanda</v>
      </c>
      <c r="E2" s="12" t="str">
        <f>IFERROR(__xludf.DUMMYFUNCTION("""COMPUTED_VALUE"""),"Long")</f>
        <v>Long</v>
      </c>
      <c r="F2" s="12" t="str">
        <f>IFERROR(__xludf.DUMMYFUNCTION("""COMPUTED_VALUE"""),"2200 Lindblad Ct.")</f>
        <v>2200 Lindblad Ct.</v>
      </c>
      <c r="G2" s="12" t="str">
        <f>IFERROR(__xludf.DUMMYFUNCTION("""COMPUTED_VALUE"""),"Arlington")</f>
        <v>Arlington</v>
      </c>
      <c r="H2" s="12" t="str">
        <f>IFERROR(__xludf.DUMMYFUNCTION("""COMPUTED_VALUE"""),"281-435-6796")</f>
        <v>281-435-6796</v>
      </c>
      <c r="I2" s="12" t="str">
        <f>IFERROR(__xludf.DUMMYFUNCTION("""COMPUTED_VALUE"""),"amandakttx@yahoo.com")</f>
        <v>amandakttx@yahoo.com</v>
      </c>
      <c r="J2" s="12">
        <f>IFERROR(__xludf.DUMMYFUNCTION("""COMPUTED_VALUE"""),6.0)</f>
        <v>6</v>
      </c>
      <c r="K2" s="13">
        <f>IFERROR(__xludf.DUMMYFUNCTION("""COMPUTED_VALUE"""),0.0)</f>
        <v>0</v>
      </c>
      <c r="L2" s="13"/>
      <c r="M2" s="13"/>
      <c r="N2" s="13"/>
      <c r="O2" s="13"/>
      <c r="P2" s="13"/>
      <c r="Q2" s="13"/>
      <c r="R2" s="13"/>
      <c r="S2" s="13"/>
      <c r="T2" s="13"/>
    </row>
    <row r="3">
      <c r="A3" s="12" t="str">
        <f>IFERROR(__xludf.DUMMYFUNCTION("""COMPUTED_VALUE"""),"ACTIVE")</f>
        <v>ACTIVE</v>
      </c>
      <c r="B3" s="12" t="str">
        <f>IFERROR(__xludf.DUMMYFUNCTION("""COMPUTED_VALUE"""),"ACTIVE JUDGES CERTIFIED ")</f>
        <v>ACTIVE JUDGES CERTIFIED </v>
      </c>
      <c r="C3" s="12">
        <f>IFERROR(__xludf.DUMMYFUNCTION("""COMPUTED_VALUE"""),1.0)</f>
        <v>1</v>
      </c>
      <c r="D3" s="12" t="str">
        <f>IFERROR(__xludf.DUMMYFUNCTION("""COMPUTED_VALUE"""),"Jarrett")</f>
        <v>Jarrett</v>
      </c>
      <c r="E3" s="12" t="str">
        <f>IFERROR(__xludf.DUMMYFUNCTION("""COMPUTED_VALUE"""),"Long")</f>
        <v>Long</v>
      </c>
      <c r="F3" s="12" t="str">
        <f>IFERROR(__xludf.DUMMYFUNCTION("""COMPUTED_VALUE"""),"2200 Lindblad Ct.")</f>
        <v>2200 Lindblad Ct.</v>
      </c>
      <c r="G3" s="12" t="str">
        <f>IFERROR(__xludf.DUMMYFUNCTION("""COMPUTED_VALUE"""),"Arlington")</f>
        <v>Arlington</v>
      </c>
      <c r="H3" s="12" t="str">
        <f>IFERROR(__xludf.DUMMYFUNCTION("""COMPUTED_VALUE"""),"713-962-2393")</f>
        <v>713-962-2393</v>
      </c>
      <c r="I3" s="12" t="str">
        <f>IFERROR(__xludf.DUMMYFUNCTION("""COMPUTED_VALUE"""),"jarrettlong@hotmail.com")</f>
        <v>jarrettlong@hotmail.com</v>
      </c>
      <c r="J3" s="12">
        <f>IFERROR(__xludf.DUMMYFUNCTION("""COMPUTED_VALUE"""),6.0)</f>
        <v>6</v>
      </c>
      <c r="K3" s="13">
        <f>IFERROR(__xludf.DUMMYFUNCTION("""COMPUTED_VALUE"""),0.0)</f>
        <v>0</v>
      </c>
      <c r="L3" s="13"/>
      <c r="M3" s="13"/>
      <c r="N3" s="13"/>
      <c r="O3" s="13"/>
      <c r="P3" s="13"/>
      <c r="Q3" s="13"/>
      <c r="R3" s="13"/>
      <c r="S3" s="13"/>
      <c r="T3" s="13"/>
    </row>
    <row r="4">
      <c r="A4" s="12" t="str">
        <f>IFERROR(__xludf.DUMMYFUNCTION("""COMPUTED_VALUE"""),"ACTIVE")</f>
        <v>ACTIVE</v>
      </c>
      <c r="B4" s="12" t="str">
        <f>IFERROR(__xludf.DUMMYFUNCTION("""COMPUTED_VALUE"""),"ACTIVE JUDGES CERTIFIED MEAD ONLY")</f>
        <v>ACTIVE JUDGES CERTIFIED MEAD ONLY</v>
      </c>
      <c r="C4" s="12">
        <f>IFERROR(__xludf.DUMMYFUNCTION("""COMPUTED_VALUE"""),4.0)</f>
        <v>4</v>
      </c>
      <c r="D4" s="12" t="str">
        <f>IFERROR(__xludf.DUMMYFUNCTION("""COMPUTED_VALUE"""),"1")</f>
        <v>1</v>
      </c>
      <c r="E4" s="12" t="str">
        <f>IFERROR(__xludf.DUMMYFUNCTION("""COMPUTED_VALUE"""),"Newcomb")</f>
        <v>Newcomb</v>
      </c>
      <c r="F4" s="12" t="str">
        <f>IFERROR(__xludf.DUMMYFUNCTION("""COMPUTED_VALUE"""),"5612 Trail Lake Drive")</f>
        <v>5612 Trail Lake Drive</v>
      </c>
      <c r="G4" s="12" t="str">
        <f>IFERROR(__xludf.DUMMYFUNCTION("""COMPUTED_VALUE"""),"Arlington")</f>
        <v>Arlington</v>
      </c>
      <c r="H4" s="12" t="str">
        <f>IFERROR(__xludf.DUMMYFUNCTION("""COMPUTED_VALUE"""),"972-467-7783")</f>
        <v>972-467-7783</v>
      </c>
      <c r="I4" s="12" t="str">
        <f>IFERROR(__xludf.DUMMYFUNCTION("""COMPUTED_VALUE"""),"newcomb218@gmail.com")</f>
        <v>newcomb218@gmail.com</v>
      </c>
      <c r="J4" s="12">
        <f>IFERROR(__xludf.DUMMYFUNCTION("""COMPUTED_VALUE"""),1.0)</f>
        <v>1</v>
      </c>
      <c r="K4" s="13">
        <f>IFERROR(__xludf.DUMMYFUNCTION("""COMPUTED_VALUE"""),2.0)</f>
        <v>2</v>
      </c>
      <c r="L4" s="13"/>
      <c r="M4" s="13"/>
      <c r="N4" s="13"/>
      <c r="O4" s="13"/>
      <c r="P4" s="13"/>
      <c r="Q4" s="13"/>
      <c r="R4" s="13"/>
      <c r="S4" s="13"/>
      <c r="T4" s="13"/>
    </row>
    <row r="5">
      <c r="A5" s="12" t="str">
        <f>IFERROR(__xludf.DUMMYFUNCTION("""COMPUTED_VALUE"""),"ACTIVE")</f>
        <v>ACTIVE</v>
      </c>
      <c r="B5" s="12" t="str">
        <f>IFERROR(__xludf.DUMMYFUNCTION("""COMPUTED_VALUE"""),"ACTIVE JUDGES CERTIFIED ")</f>
        <v>ACTIVE JUDGES CERTIFIED </v>
      </c>
      <c r="C5" s="12">
        <f>IFERROR(__xludf.DUMMYFUNCTION("""COMPUTED_VALUE"""),1.0)</f>
        <v>1</v>
      </c>
      <c r="D5" s="12" t="str">
        <f>IFERROR(__xludf.DUMMYFUNCTION("""COMPUTED_VALUE"""),"Travis")</f>
        <v>Travis</v>
      </c>
      <c r="E5" s="12" t="str">
        <f>IFERROR(__xludf.DUMMYFUNCTION("""COMPUTED_VALUE"""),"Pollan")</f>
        <v>Pollan</v>
      </c>
      <c r="F5" s="12" t="str">
        <f>IFERROR(__xludf.DUMMYFUNCTION("""COMPUTED_VALUE"""),"5805 Village Glen Trail")</f>
        <v>5805 Village Glen Trail</v>
      </c>
      <c r="G5" s="12" t="str">
        <f>IFERROR(__xludf.DUMMYFUNCTION("""COMPUTED_VALUE"""),"Arlington")</f>
        <v>Arlington</v>
      </c>
      <c r="H5" s="12" t="str">
        <f>IFERROR(__xludf.DUMMYFUNCTION("""COMPUTED_VALUE"""),"817-996-3820")</f>
        <v>817-996-3820</v>
      </c>
      <c r="I5" s="12" t="str">
        <f>IFERROR(__xludf.DUMMYFUNCTION("""COMPUTED_VALUE"""),"travis.pollan@gmail.com")</f>
        <v>travis.pollan@gmail.com</v>
      </c>
      <c r="J5" s="12">
        <f>IFERROR(__xludf.DUMMYFUNCTION("""COMPUTED_VALUE"""),2.0)</f>
        <v>2</v>
      </c>
      <c r="K5" s="13">
        <f>IFERROR(__xludf.DUMMYFUNCTION("""COMPUTED_VALUE"""),2.0)</f>
        <v>2</v>
      </c>
      <c r="L5" s="13"/>
      <c r="M5" s="13"/>
      <c r="N5" s="13"/>
      <c r="O5" s="13"/>
      <c r="P5" s="13"/>
      <c r="Q5" s="13"/>
      <c r="R5" s="13"/>
      <c r="S5" s="13"/>
      <c r="T5" s="13"/>
    </row>
    <row r="6">
      <c r="A6" s="12" t="str">
        <f>IFERROR(__xludf.DUMMYFUNCTION("""COMPUTED_VALUE"""),"ACTIVE")</f>
        <v>ACTIVE</v>
      </c>
      <c r="B6" s="12" t="str">
        <f>IFERROR(__xludf.DUMMYFUNCTION("""COMPUTED_VALUE"""),"ACTIVE JUDGES CERTIFIED ")</f>
        <v>ACTIVE JUDGES CERTIFIED </v>
      </c>
      <c r="C6" s="12">
        <f>IFERROR(__xludf.DUMMYFUNCTION("""COMPUTED_VALUE"""),1.0)</f>
        <v>1</v>
      </c>
      <c r="D6" s="12" t="str">
        <f>IFERROR(__xludf.DUMMYFUNCTION("""COMPUTED_VALUE"""),"Charlie")</f>
        <v>Charlie</v>
      </c>
      <c r="E6" s="12" t="str">
        <f>IFERROR(__xludf.DUMMYFUNCTION("""COMPUTED_VALUE"""),"Scudder")</f>
        <v>Scudder</v>
      </c>
      <c r="F6" s="12" t="str">
        <f>IFERROR(__xludf.DUMMYFUNCTION("""COMPUTED_VALUE"""),"1513 Azalea Drive")</f>
        <v>1513 Azalea Drive</v>
      </c>
      <c r="G6" s="12" t="str">
        <f>IFERROR(__xludf.DUMMYFUNCTION("""COMPUTED_VALUE"""),"Arlington")</f>
        <v>Arlington</v>
      </c>
      <c r="H6" s="12" t="str">
        <f>IFERROR(__xludf.DUMMYFUNCTION("""COMPUTED_VALUE"""),"817-301-5645")</f>
        <v>817-301-5645</v>
      </c>
      <c r="I6" s="12" t="str">
        <f>IFERROR(__xludf.DUMMYFUNCTION("""COMPUTED_VALUE"""),"cpfscudder@gmail.com")</f>
        <v>cpfscudder@gmail.com</v>
      </c>
      <c r="J6" s="12">
        <f>IFERROR(__xludf.DUMMYFUNCTION("""COMPUTED_VALUE"""),2.0)</f>
        <v>2</v>
      </c>
      <c r="K6" s="13">
        <f>IFERROR(__xludf.DUMMYFUNCTION("""COMPUTED_VALUE"""),5.0)</f>
        <v>5</v>
      </c>
      <c r="L6" s="13"/>
      <c r="M6" s="13"/>
      <c r="N6" s="13"/>
      <c r="O6" s="13"/>
      <c r="P6" s="13"/>
      <c r="Q6" s="13"/>
      <c r="R6" s="13"/>
      <c r="S6" s="13"/>
      <c r="T6" s="13"/>
    </row>
    <row r="7">
      <c r="A7" s="12" t="str">
        <f>IFERROR(__xludf.DUMMYFUNCTION("""COMPUTED_VALUE"""),"ACTIVE")</f>
        <v>ACTIVE</v>
      </c>
      <c r="B7" s="12" t="str">
        <f>IFERROR(__xludf.DUMMYFUNCTION("""COMPUTED_VALUE"""),"ACTIVE JUDGES CERTIFIED ")</f>
        <v>ACTIVE JUDGES CERTIFIED </v>
      </c>
      <c r="C7" s="12">
        <f>IFERROR(__xludf.DUMMYFUNCTION("""COMPUTED_VALUE"""),1.0)</f>
        <v>1</v>
      </c>
      <c r="D7" s="12" t="str">
        <f>IFERROR(__xludf.DUMMYFUNCTION("""COMPUTED_VALUE"""),"Steve")</f>
        <v>Steve</v>
      </c>
      <c r="E7" s="12" t="str">
        <f>IFERROR(__xludf.DUMMYFUNCTION("""COMPUTED_VALUE"""),"Wesstrom")</f>
        <v>Wesstrom</v>
      </c>
      <c r="F7" s="12" t="str">
        <f>IFERROR(__xludf.DUMMYFUNCTION("""COMPUTED_VALUE"""),"1714 Parkridge Ct")</f>
        <v>1714 Parkridge Ct</v>
      </c>
      <c r="G7" s="12" t="str">
        <f>IFERROR(__xludf.DUMMYFUNCTION("""COMPUTED_VALUE"""),"Arlington")</f>
        <v>Arlington</v>
      </c>
      <c r="H7" s="12" t="str">
        <f>IFERROR(__xludf.DUMMYFUNCTION("""COMPUTED_VALUE"""),"(817) 832-8916")</f>
        <v>(817) 832-8916</v>
      </c>
      <c r="I7" s="12" t="str">
        <f>IFERROR(__xludf.DUMMYFUNCTION("""COMPUTED_VALUE"""),"sgwesst@gmail.com")</f>
        <v>sgwesst@gmail.com</v>
      </c>
      <c r="J7" s="12">
        <f>IFERROR(__xludf.DUMMYFUNCTION("""COMPUTED_VALUE"""),6.0)</f>
        <v>6</v>
      </c>
      <c r="K7" s="13">
        <f>IFERROR(__xludf.DUMMYFUNCTION("""COMPUTED_VALUE"""),7.0)</f>
        <v>7</v>
      </c>
      <c r="L7" s="13"/>
      <c r="M7" s="13"/>
      <c r="N7" s="13"/>
      <c r="O7" s="13"/>
      <c r="P7" s="13"/>
      <c r="Q7" s="13"/>
      <c r="R7" s="13"/>
      <c r="S7" s="13"/>
      <c r="T7" s="13"/>
    </row>
    <row r="8">
      <c r="A8" s="12" t="str">
        <f>IFERROR(__xludf.DUMMYFUNCTION("""COMPUTED_VALUE"""),"ACTIVE")</f>
        <v>ACTIVE</v>
      </c>
      <c r="B8" s="12" t="str">
        <f>IFERROR(__xludf.DUMMYFUNCTION("""COMPUTED_VALUE"""),"ACTIVE JUDGES CERTIFIED ")</f>
        <v>ACTIVE JUDGES CERTIFIED </v>
      </c>
      <c r="C8" s="12">
        <f>IFERROR(__xludf.DUMMYFUNCTION("""COMPUTED_VALUE"""),1.0)</f>
        <v>1</v>
      </c>
      <c r="D8" s="12" t="str">
        <f>IFERROR(__xludf.DUMMYFUNCTION("""COMPUTED_VALUE"""),"Jamison")</f>
        <v>Jamison</v>
      </c>
      <c r="E8" s="12" t="str">
        <f>IFERROR(__xludf.DUMMYFUNCTION("""COMPUTED_VALUE"""),"Kirmser")</f>
        <v>Kirmser</v>
      </c>
      <c r="F8" s="12" t="str">
        <f>IFERROR(__xludf.DUMMYFUNCTION("""COMPUTED_VALUE"""),"1302 Willowbrook")</f>
        <v>1302 Willowbrook</v>
      </c>
      <c r="G8" s="12" t="str">
        <f>IFERROR(__xludf.DUMMYFUNCTION("""COMPUTED_VALUE"""),"Arlington")</f>
        <v>Arlington</v>
      </c>
      <c r="H8" s="12" t="str">
        <f>IFERROR(__xludf.DUMMYFUNCTION("""COMPUTED_VALUE"""),"817-223-5587")</f>
        <v>817-223-5587</v>
      </c>
      <c r="I8" s="12" t="str">
        <f>IFERROR(__xludf.DUMMYFUNCTION("""COMPUTED_VALUE"""),"jamisonkirmser@gmail.com")</f>
        <v>jamisonkirmser@gmail.com</v>
      </c>
      <c r="J8" s="12">
        <f>IFERROR(__xludf.DUMMYFUNCTION("""COMPUTED_VALUE"""),2.0)</f>
        <v>2</v>
      </c>
      <c r="K8" s="13">
        <f>IFERROR(__xludf.DUMMYFUNCTION("""COMPUTED_VALUE"""),10.0)</f>
        <v>10</v>
      </c>
      <c r="L8" s="13"/>
      <c r="M8" s="13"/>
      <c r="N8" s="13"/>
      <c r="O8" s="13"/>
      <c r="P8" s="13"/>
      <c r="Q8" s="13"/>
      <c r="R8" s="13"/>
      <c r="S8" s="13"/>
      <c r="T8" s="13"/>
    </row>
    <row r="9">
      <c r="A9" s="12" t="str">
        <f>IFERROR(__xludf.DUMMYFUNCTION("""COMPUTED_VALUE"""),"ACTIVE")</f>
        <v>ACTIVE</v>
      </c>
      <c r="B9" s="12" t="str">
        <f>IFERROR(__xludf.DUMMYFUNCTION("""COMPUTED_VALUE"""),"ACTIVE JUDGES CERTIFIED ")</f>
        <v>ACTIVE JUDGES CERTIFIED </v>
      </c>
      <c r="C9" s="12">
        <f>IFERROR(__xludf.DUMMYFUNCTION("""COMPUTED_VALUE"""),1.0)</f>
        <v>1</v>
      </c>
      <c r="D9" s="12" t="str">
        <f>IFERROR(__xludf.DUMMYFUNCTION("""COMPUTED_VALUE"""),"Collin")</f>
        <v>Collin</v>
      </c>
      <c r="E9" s="12" t="str">
        <f>IFERROR(__xludf.DUMMYFUNCTION("""COMPUTED_VALUE"""),"Zreet")</f>
        <v>Zreet</v>
      </c>
      <c r="F9" s="12" t="str">
        <f>IFERROR(__xludf.DUMMYFUNCTION("""COMPUTED_VALUE"""),"3936 Byers Ave")</f>
        <v>3936 Byers Ave</v>
      </c>
      <c r="G9" s="12" t="str">
        <f>IFERROR(__xludf.DUMMYFUNCTION("""COMPUTED_VALUE"""),"Fort Worth")</f>
        <v>Fort Worth</v>
      </c>
      <c r="H9" s="12" t="str">
        <f>IFERROR(__xludf.DUMMYFUNCTION("""COMPUTED_VALUE"""),"(214) 793-9570")</f>
        <v>(214) 793-9570</v>
      </c>
      <c r="I9" s="12" t="str">
        <f>IFERROR(__xludf.DUMMYFUNCTION("""COMPUTED_VALUE"""),"mczreet@sbcglobal.net")</f>
        <v>mczreet@sbcglobal.net</v>
      </c>
      <c r="J9" s="12">
        <f>IFERROR(__xludf.DUMMYFUNCTION("""COMPUTED_VALUE"""),4.0)</f>
        <v>4</v>
      </c>
      <c r="K9" s="13">
        <f>IFERROR(__xludf.DUMMYFUNCTION("""COMPUTED_VALUE"""),16.0)</f>
        <v>16</v>
      </c>
      <c r="L9" s="13"/>
      <c r="M9" s="13"/>
      <c r="N9" s="13"/>
      <c r="O9" s="13"/>
      <c r="P9" s="13"/>
      <c r="Q9" s="13"/>
      <c r="R9" s="13"/>
      <c r="S9" s="13"/>
      <c r="T9" s="13"/>
    </row>
    <row r="10">
      <c r="A10" s="12" t="str">
        <f>IFERROR(__xludf.DUMMYFUNCTION("""COMPUTED_VALUE"""),"ACTIVE")</f>
        <v>ACTIVE</v>
      </c>
      <c r="B10" s="12" t="str">
        <f>IFERROR(__xludf.DUMMYFUNCTION("""COMPUTED_VALUE"""),"ACTIVE JUDGES CERTIFIED ")</f>
        <v>ACTIVE JUDGES CERTIFIED </v>
      </c>
      <c r="C10" s="12">
        <f>IFERROR(__xludf.DUMMYFUNCTION("""COMPUTED_VALUE"""),1.0)</f>
        <v>1</v>
      </c>
      <c r="D10" s="12" t="str">
        <f>IFERROR(__xludf.DUMMYFUNCTION("""COMPUTED_VALUE"""),"John")</f>
        <v>John</v>
      </c>
      <c r="E10" s="12" t="str">
        <f>IFERROR(__xludf.DUMMYFUNCTION("""COMPUTED_VALUE"""),"Mosher")</f>
        <v>Mosher</v>
      </c>
      <c r="F10" s="12" t="str">
        <f>IFERROR(__xludf.DUMMYFUNCTION("""COMPUTED_VALUE"""),"1316 Nicole Way")</f>
        <v>1316 Nicole Way</v>
      </c>
      <c r="G10" s="12" t="str">
        <f>IFERROR(__xludf.DUMMYFUNCTION("""COMPUTED_VALUE"""),"Burleson")</f>
        <v>Burleson</v>
      </c>
      <c r="H10" s="12" t="str">
        <f>IFERROR(__xludf.DUMMYFUNCTION("""COMPUTED_VALUE"""),"817-937-3992")</f>
        <v>817-937-3992</v>
      </c>
      <c r="I10" s="12" t="str">
        <f>IFERROR(__xludf.DUMMYFUNCTION("""COMPUTED_VALUE"""),"jamosher68@gmail.com")</f>
        <v>jamosher68@gmail.com</v>
      </c>
      <c r="J10" s="12">
        <f>IFERROR(__xludf.DUMMYFUNCTION("""COMPUTED_VALUE"""),4.0)</f>
        <v>4</v>
      </c>
      <c r="K10" s="13">
        <f>IFERROR(__xludf.DUMMYFUNCTION("""COMPUTED_VALUE"""),17.0)</f>
        <v>17</v>
      </c>
      <c r="L10" s="13"/>
      <c r="M10" s="13"/>
      <c r="N10" s="13"/>
      <c r="O10" s="13"/>
      <c r="P10" s="13"/>
      <c r="Q10" s="13"/>
      <c r="R10" s="13"/>
      <c r="S10" s="13"/>
      <c r="T10" s="13"/>
    </row>
    <row r="11">
      <c r="A11" s="12" t="str">
        <f>IFERROR(__xludf.DUMMYFUNCTION("""COMPUTED_VALUE"""),"ACTIVE")</f>
        <v>ACTIVE</v>
      </c>
      <c r="B11" s="12" t="str">
        <f>IFERROR(__xludf.DUMMYFUNCTION("""COMPUTED_VALUE"""),"ACTIVE JUDGES NON BJCP")</f>
        <v>ACTIVE JUDGES NON BJCP</v>
      </c>
      <c r="C11" s="12">
        <f>IFERROR(__xludf.DUMMYFUNCTION("""COMPUTED_VALUE"""),2.0)</f>
        <v>2</v>
      </c>
      <c r="D11" s="12" t="str">
        <f>IFERROR(__xludf.DUMMYFUNCTION("""COMPUTED_VALUE"""),"Tierney")</f>
        <v>Tierney</v>
      </c>
      <c r="E11" s="12" t="str">
        <f>IFERROR(__xludf.DUMMYFUNCTION("""COMPUTED_VALUE"""),"Klee")</f>
        <v>Klee</v>
      </c>
      <c r="F11" s="12" t="str">
        <f>IFERROR(__xludf.DUMMYFUNCTION("""COMPUTED_VALUE"""),"3521 Wicklow Court")</f>
        <v>3521 Wicklow Court</v>
      </c>
      <c r="G11" s="12" t="str">
        <f>IFERROR(__xludf.DUMMYFUNCTION("""COMPUTED_VALUE"""),"Fort Worth")</f>
        <v>Fort Worth</v>
      </c>
      <c r="H11" s="12"/>
      <c r="I11" s="12" t="str">
        <f>IFERROR(__xludf.DUMMYFUNCTION("""COMPUTED_VALUE"""),"tierney.tanner@yahoo.com")</f>
        <v>tierney.tanner@yahoo.com</v>
      </c>
      <c r="J11" s="12">
        <f>IFERROR(__xludf.DUMMYFUNCTION("""COMPUTED_VALUE"""),1.0)</f>
        <v>1</v>
      </c>
      <c r="K11" s="13">
        <f>IFERROR(__xludf.DUMMYFUNCTION("""COMPUTED_VALUE"""),21.0)</f>
        <v>21</v>
      </c>
      <c r="L11" s="13"/>
      <c r="M11" s="13"/>
      <c r="N11" s="13"/>
      <c r="O11" s="13"/>
      <c r="P11" s="13"/>
      <c r="Q11" s="13"/>
      <c r="R11" s="13"/>
      <c r="S11" s="13"/>
      <c r="T11" s="13"/>
    </row>
    <row r="12">
      <c r="A12" s="12" t="str">
        <f>IFERROR(__xludf.DUMMYFUNCTION("""COMPUTED_VALUE"""),"ACTIVE")</f>
        <v>ACTIVE</v>
      </c>
      <c r="B12" s="12" t="str">
        <f>IFERROR(__xludf.DUMMYFUNCTION("""COMPUTED_VALUE"""),"ACTIVE JUDGES NON BJCP")</f>
        <v>ACTIVE JUDGES NON BJCP</v>
      </c>
      <c r="C12" s="12">
        <f>IFERROR(__xludf.DUMMYFUNCTION("""COMPUTED_VALUE"""),2.0)</f>
        <v>2</v>
      </c>
      <c r="D12" s="12" t="str">
        <f>IFERROR(__xludf.DUMMYFUNCTION("""COMPUTED_VALUE"""),"James")</f>
        <v>James</v>
      </c>
      <c r="E12" s="12" t="str">
        <f>IFERROR(__xludf.DUMMYFUNCTION("""COMPUTED_VALUE"""),"Klee")</f>
        <v>Klee</v>
      </c>
      <c r="F12" s="12" t="str">
        <f>IFERROR(__xludf.DUMMYFUNCTION("""COMPUTED_VALUE"""),"3521 Wicklow Ct")</f>
        <v>3521 Wicklow Ct</v>
      </c>
      <c r="G12" s="12" t="str">
        <f>IFERROR(__xludf.DUMMYFUNCTION("""COMPUTED_VALUE"""),"Fort Worth")</f>
        <v>Fort Worth</v>
      </c>
      <c r="H12" s="12"/>
      <c r="I12" s="12" t="str">
        <f>IFERROR(__xludf.DUMMYFUNCTION("""COMPUTED_VALUE"""),"jklee2112@yahoo.com")</f>
        <v>jklee2112@yahoo.com</v>
      </c>
      <c r="J12" s="12">
        <f>IFERROR(__xludf.DUMMYFUNCTION("""COMPUTED_VALUE"""),1.0)</f>
        <v>1</v>
      </c>
      <c r="K12" s="13">
        <f>IFERROR(__xludf.DUMMYFUNCTION("""COMPUTED_VALUE"""),21.0)</f>
        <v>21</v>
      </c>
      <c r="L12" s="13"/>
      <c r="M12" s="13"/>
      <c r="N12" s="13"/>
      <c r="O12" s="13"/>
      <c r="P12" s="13"/>
      <c r="Q12" s="13"/>
      <c r="R12" s="13"/>
      <c r="S12" s="13"/>
      <c r="T12" s="13"/>
    </row>
    <row r="13">
      <c r="A13" s="12" t="str">
        <f>IFERROR(__xludf.DUMMYFUNCTION("""COMPUTED_VALUE"""),"ACTIVE")</f>
        <v>ACTIVE</v>
      </c>
      <c r="B13" s="12" t="str">
        <f>IFERROR(__xludf.DUMMYFUNCTION("""COMPUTED_VALUE"""),"ACTIVE JUDGES CERTIFIED ")</f>
        <v>ACTIVE JUDGES CERTIFIED </v>
      </c>
      <c r="C13" s="12">
        <f>IFERROR(__xludf.DUMMYFUNCTION("""COMPUTED_VALUE"""),1.0)</f>
        <v>1</v>
      </c>
      <c r="D13" s="12" t="str">
        <f>IFERROR(__xludf.DUMMYFUNCTION("""COMPUTED_VALUE"""),"John")</f>
        <v>John</v>
      </c>
      <c r="E13" s="12" t="str">
        <f>IFERROR(__xludf.DUMMYFUNCTION("""COMPUTED_VALUE"""),"Bates")</f>
        <v>Bates</v>
      </c>
      <c r="F13" s="12" t="str">
        <f>IFERROR(__xludf.DUMMYFUNCTION("""COMPUTED_VALUE"""),"1033 Evendale Rd")</f>
        <v>1033 Evendale Rd</v>
      </c>
      <c r="G13" s="12" t="str">
        <f>IFERROR(__xludf.DUMMYFUNCTION("""COMPUTED_VALUE"""),"Burleson")</f>
        <v>Burleson</v>
      </c>
      <c r="H13" s="12" t="str">
        <f>IFERROR(__xludf.DUMMYFUNCTION("""COMPUTED_VALUE"""),"214-608-6152")</f>
        <v>214-608-6152</v>
      </c>
      <c r="I13" s="12" t="str">
        <f>IFERROR(__xludf.DUMMYFUNCTION("""COMPUTED_VALUE"""),"jcbates61@hotmail.com")</f>
        <v>jcbates61@hotmail.com</v>
      </c>
      <c r="J13" s="12">
        <f>IFERROR(__xludf.DUMMYFUNCTION("""COMPUTED_VALUE"""),5.0)</f>
        <v>5</v>
      </c>
      <c r="K13" s="13">
        <f>IFERROR(__xludf.DUMMYFUNCTION("""COMPUTED_VALUE"""),22.0)</f>
        <v>22</v>
      </c>
      <c r="L13" s="13"/>
      <c r="M13" s="13"/>
      <c r="N13" s="13"/>
      <c r="O13" s="13"/>
      <c r="P13" s="13"/>
      <c r="Q13" s="13"/>
      <c r="R13" s="13"/>
      <c r="S13" s="13"/>
      <c r="T13" s="13"/>
    </row>
    <row r="14">
      <c r="A14" s="12" t="str">
        <f>IFERROR(__xludf.DUMMYFUNCTION("""COMPUTED_VALUE"""),"ACTIVE")</f>
        <v>ACTIVE</v>
      </c>
      <c r="B14" s="12" t="str">
        <f>IFERROR(__xludf.DUMMYFUNCTION("""COMPUTED_VALUE"""),"ACTIVE JUDGES NON BJCP")</f>
        <v>ACTIVE JUDGES NON BJCP</v>
      </c>
      <c r="C14" s="12">
        <f>IFERROR(__xludf.DUMMYFUNCTION("""COMPUTED_VALUE"""),2.0)</f>
        <v>2</v>
      </c>
      <c r="D14" s="12" t="str">
        <f>IFERROR(__xludf.DUMMYFUNCTION("""COMPUTED_VALUE"""),"Jerry")</f>
        <v>Jerry</v>
      </c>
      <c r="E14" s="12" t="str">
        <f>IFERROR(__xludf.DUMMYFUNCTION("""COMPUTED_VALUE"""),"Richard")</f>
        <v>Richard</v>
      </c>
      <c r="F14" s="12" t="str">
        <f>IFERROR(__xludf.DUMMYFUNCTION("""COMPUTED_VALUE"""),"4003 Western St")</f>
        <v>4003 Western St</v>
      </c>
      <c r="G14" s="12" t="str">
        <f>IFERROR(__xludf.DUMMYFUNCTION("""COMPUTED_VALUE"""),"Dallas")</f>
        <v>Dallas</v>
      </c>
      <c r="H14" s="12"/>
      <c r="I14" s="12" t="str">
        <f>IFERROR(__xludf.DUMMYFUNCTION("""COMPUTED_VALUE"""),"ntxbeer@gmail.com")</f>
        <v>ntxbeer@gmail.com</v>
      </c>
      <c r="J14" s="12">
        <f>IFERROR(__xludf.DUMMYFUNCTION("""COMPUTED_VALUE"""),1.0)</f>
        <v>1</v>
      </c>
      <c r="K14" s="13">
        <f>IFERROR(__xludf.DUMMYFUNCTION("""COMPUTED_VALUE"""),23.0)</f>
        <v>23</v>
      </c>
      <c r="L14" s="13"/>
      <c r="M14" s="13"/>
      <c r="N14" s="13"/>
      <c r="O14" s="13"/>
      <c r="P14" s="13"/>
      <c r="Q14" s="13"/>
      <c r="R14" s="13"/>
      <c r="S14" s="13"/>
      <c r="T14" s="13"/>
    </row>
    <row r="15">
      <c r="A15" s="12" t="str">
        <f>IFERROR(__xludf.DUMMYFUNCTION("""COMPUTED_VALUE"""),"ACTIVE")</f>
        <v>ACTIVE</v>
      </c>
      <c r="B15" s="12" t="str">
        <f>IFERROR(__xludf.DUMMYFUNCTION("""COMPUTED_VALUE"""),"ACTIVE JUDGES NON BJCP")</f>
        <v>ACTIVE JUDGES NON BJCP</v>
      </c>
      <c r="C15" s="12">
        <f>IFERROR(__xludf.DUMMYFUNCTION("""COMPUTED_VALUE"""),2.0)</f>
        <v>2</v>
      </c>
      <c r="D15" s="12" t="str">
        <f>IFERROR(__xludf.DUMMYFUNCTION("""COMPUTED_VALUE"""),"Christopher")</f>
        <v>Christopher</v>
      </c>
      <c r="E15" s="12" t="str">
        <f>IFERROR(__xludf.DUMMYFUNCTION("""COMPUTED_VALUE"""),"Galletto")</f>
        <v>Galletto</v>
      </c>
      <c r="F15" s="12" t="str">
        <f>IFERROR(__xludf.DUMMYFUNCTION("""COMPUTED_VALUE"""),"6215 Creek Crossing")</f>
        <v>6215 Creek Crossing</v>
      </c>
      <c r="G15" s="12" t="str">
        <f>IFERROR(__xludf.DUMMYFUNCTION("""COMPUTED_VALUE"""),"Alvarado")</f>
        <v>Alvarado</v>
      </c>
      <c r="H15" s="12"/>
      <c r="I15" s="12" t="str">
        <f>IFERROR(__xludf.DUMMYFUNCTION("""COMPUTED_VALUE"""),"galletto.chris@gmail.com")</f>
        <v>galletto.chris@gmail.com</v>
      </c>
      <c r="J15" s="12">
        <f>IFERROR(__xludf.DUMMYFUNCTION("""COMPUTED_VALUE"""),1.0)</f>
        <v>1</v>
      </c>
      <c r="K15" s="13">
        <f>IFERROR(__xludf.DUMMYFUNCTION("""COMPUTED_VALUE"""),29.0)</f>
        <v>29</v>
      </c>
      <c r="L15" s="13"/>
      <c r="M15" s="13"/>
      <c r="N15" s="13"/>
      <c r="O15" s="13"/>
      <c r="P15" s="13"/>
      <c r="Q15" s="13"/>
      <c r="R15" s="13"/>
      <c r="S15" s="13"/>
      <c r="T15" s="13"/>
    </row>
    <row r="16">
      <c r="A16" s="12" t="str">
        <f>IFERROR(__xludf.DUMMYFUNCTION("""COMPUTED_VALUE"""),"ACTIVE")</f>
        <v>ACTIVE</v>
      </c>
      <c r="B16" s="12" t="str">
        <f>IFERROR(__xludf.DUMMYFUNCTION("""COMPUTED_VALUE"""),"ACTIVE JUDGES CERTIFIED ")</f>
        <v>ACTIVE JUDGES CERTIFIED </v>
      </c>
      <c r="C16" s="12">
        <f>IFERROR(__xludf.DUMMYFUNCTION("""COMPUTED_VALUE"""),1.0)</f>
        <v>1</v>
      </c>
      <c r="D16" s="12" t="str">
        <f>IFERROR(__xludf.DUMMYFUNCTION("""COMPUTED_VALUE"""),"John")</f>
        <v>John</v>
      </c>
      <c r="E16" s="12" t="str">
        <f>IFERROR(__xludf.DUMMYFUNCTION("""COMPUTED_VALUE"""),"Skelton")</f>
        <v>Skelton</v>
      </c>
      <c r="F16" s="12" t="str">
        <f>IFERROR(__xludf.DUMMYFUNCTION("""COMPUTED_VALUE"""),"452 Sagebrush Dr")</f>
        <v>452 Sagebrush Dr</v>
      </c>
      <c r="G16" s="12" t="str">
        <f>IFERROR(__xludf.DUMMYFUNCTION("""COMPUTED_VALUE"""),"Aledo")</f>
        <v>Aledo</v>
      </c>
      <c r="H16" s="12" t="str">
        <f>IFERROR(__xludf.DUMMYFUNCTION("""COMPUTED_VALUE"""),"210-387-7591")</f>
        <v>210-387-7591</v>
      </c>
      <c r="I16" s="12" t="str">
        <f>IFERROR(__xludf.DUMMYFUNCTION("""COMPUTED_VALUE"""),"jwskelton@gmail.com")</f>
        <v>jwskelton@gmail.com</v>
      </c>
      <c r="J16" s="12">
        <f>IFERROR(__xludf.DUMMYFUNCTION("""COMPUTED_VALUE"""),6.0)</f>
        <v>6</v>
      </c>
      <c r="K16" s="13">
        <f>IFERROR(__xludf.DUMMYFUNCTION("""COMPUTED_VALUE"""),30.0)</f>
        <v>30</v>
      </c>
      <c r="L16" s="13"/>
      <c r="M16" s="13"/>
      <c r="N16" s="13"/>
      <c r="O16" s="13"/>
      <c r="P16" s="13"/>
      <c r="Q16" s="13"/>
      <c r="R16" s="13"/>
      <c r="S16" s="13"/>
      <c r="T16" s="13"/>
    </row>
    <row r="17"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>
      <c r="K59" s="13"/>
      <c r="L59" s="13"/>
      <c r="M59" s="13"/>
      <c r="N59" s="13"/>
      <c r="O59" s="13"/>
      <c r="P59" s="13"/>
      <c r="Q59" s="13"/>
      <c r="R59" s="13"/>
      <c r="S59" s="13"/>
      <c r="T59" s="13"/>
    </row>
    <row r="60">
      <c r="K60" s="13"/>
      <c r="L60" s="13"/>
      <c r="M60" s="13"/>
      <c r="N60" s="13"/>
      <c r="O60" s="13"/>
      <c r="P60" s="13"/>
      <c r="Q60" s="13"/>
      <c r="R60" s="13"/>
      <c r="S60" s="13"/>
      <c r="T60" s="13"/>
    </row>
    <row r="61">
      <c r="K61" s="13"/>
      <c r="L61" s="13"/>
      <c r="M61" s="13"/>
      <c r="N61" s="13"/>
      <c r="O61" s="13"/>
      <c r="P61" s="13"/>
      <c r="Q61" s="13"/>
      <c r="R61" s="13"/>
      <c r="S61" s="13"/>
      <c r="T61" s="13"/>
    </row>
    <row r="62">
      <c r="K62" s="13"/>
      <c r="L62" s="13"/>
      <c r="M62" s="13"/>
      <c r="N62" s="13"/>
      <c r="O62" s="13"/>
      <c r="P62" s="13"/>
      <c r="Q62" s="13"/>
      <c r="R62" s="13"/>
      <c r="S62" s="13"/>
      <c r="T62" s="13"/>
    </row>
    <row r="63">
      <c r="K63" s="13"/>
      <c r="L63" s="13"/>
      <c r="M63" s="13"/>
      <c r="N63" s="13"/>
      <c r="O63" s="13"/>
      <c r="P63" s="13"/>
      <c r="Q63" s="13"/>
      <c r="R63" s="13"/>
      <c r="S63" s="13"/>
      <c r="T63" s="13"/>
    </row>
    <row r="64">
      <c r="K64" s="13"/>
      <c r="L64" s="13"/>
      <c r="M64" s="13"/>
      <c r="N64" s="13"/>
      <c r="O64" s="13"/>
      <c r="P64" s="13"/>
      <c r="Q64" s="13"/>
      <c r="R64" s="13"/>
      <c r="S64" s="13"/>
      <c r="T64" s="13"/>
    </row>
    <row r="65">
      <c r="K65" s="13"/>
      <c r="L65" s="13"/>
      <c r="M65" s="13"/>
      <c r="N65" s="13"/>
      <c r="O65" s="13"/>
      <c r="P65" s="13"/>
      <c r="Q65" s="13"/>
      <c r="R65" s="13"/>
      <c r="S65" s="13"/>
      <c r="T65" s="13"/>
    </row>
    <row r="66">
      <c r="K66" s="13"/>
      <c r="L66" s="13"/>
      <c r="M66" s="13"/>
      <c r="N66" s="13"/>
      <c r="O66" s="13"/>
      <c r="P66" s="13"/>
      <c r="Q66" s="13"/>
      <c r="R66" s="13"/>
      <c r="S66" s="13"/>
      <c r="T66" s="13"/>
    </row>
    <row r="67">
      <c r="K67" s="13"/>
      <c r="L67" s="13"/>
      <c r="M67" s="13"/>
      <c r="N67" s="13"/>
      <c r="O67" s="13"/>
      <c r="P67" s="13"/>
      <c r="Q67" s="13"/>
      <c r="R67" s="13"/>
      <c r="S67" s="13"/>
      <c r="T67" s="13"/>
    </row>
    <row r="68"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r="82"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r="83"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>
      <c r="K84" s="13"/>
      <c r="L84" s="13"/>
      <c r="M84" s="13"/>
      <c r="N84" s="13"/>
      <c r="O84" s="13"/>
      <c r="P84" s="13"/>
      <c r="Q84" s="13"/>
      <c r="R84" s="13"/>
      <c r="S84" s="13"/>
      <c r="T84" s="13"/>
    </row>
    <row r="85">
      <c r="K85" s="13"/>
      <c r="L85" s="13"/>
      <c r="M85" s="13"/>
      <c r="N85" s="13"/>
      <c r="O85" s="13"/>
      <c r="P85" s="13"/>
      <c r="Q85" s="13"/>
      <c r="R85" s="13"/>
      <c r="S85" s="13"/>
      <c r="T85" s="13"/>
    </row>
    <row r="86">
      <c r="K86" s="13"/>
      <c r="L86" s="13"/>
      <c r="M86" s="13"/>
      <c r="N86" s="13"/>
      <c r="O86" s="13"/>
      <c r="P86" s="13"/>
      <c r="Q86" s="13"/>
      <c r="R86" s="13"/>
      <c r="S86" s="13"/>
      <c r="T86" s="13"/>
    </row>
    <row r="87">
      <c r="K87" s="13"/>
      <c r="L87" s="13"/>
      <c r="M87" s="13"/>
      <c r="N87" s="13"/>
      <c r="O87" s="13"/>
      <c r="P87" s="13"/>
      <c r="Q87" s="13"/>
      <c r="R87" s="13"/>
      <c r="S87" s="13"/>
      <c r="T87" s="13"/>
    </row>
    <row r="88"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r="89"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r="90">
      <c r="K90" s="13"/>
      <c r="L90" s="13"/>
      <c r="M90" s="13"/>
      <c r="N90" s="13"/>
      <c r="O90" s="13"/>
      <c r="P90" s="13"/>
      <c r="Q90" s="13"/>
      <c r="R90" s="13"/>
      <c r="S90" s="13"/>
      <c r="T90" s="13"/>
    </row>
    <row r="91">
      <c r="K91" s="13"/>
      <c r="L91" s="13"/>
      <c r="M91" s="13"/>
      <c r="N91" s="13"/>
      <c r="O91" s="13"/>
      <c r="P91" s="13"/>
      <c r="Q91" s="13"/>
      <c r="R91" s="13"/>
      <c r="S91" s="13"/>
      <c r="T91" s="13"/>
    </row>
    <row r="92">
      <c r="K92" s="13"/>
      <c r="L92" s="13"/>
      <c r="M92" s="13"/>
      <c r="N92" s="13"/>
      <c r="O92" s="13"/>
      <c r="P92" s="13"/>
      <c r="Q92" s="13"/>
      <c r="R92" s="13"/>
      <c r="S92" s="13"/>
      <c r="T92" s="13"/>
    </row>
    <row r="93">
      <c r="K93" s="13"/>
      <c r="L93" s="13"/>
      <c r="M93" s="13"/>
      <c r="N93" s="13"/>
      <c r="O93" s="13"/>
      <c r="P93" s="13"/>
      <c r="Q93" s="13"/>
      <c r="R93" s="13"/>
      <c r="S93" s="13"/>
      <c r="T93" s="13"/>
    </row>
    <row r="94">
      <c r="K94" s="13"/>
      <c r="L94" s="13"/>
      <c r="M94" s="13"/>
      <c r="N94" s="13"/>
      <c r="O94" s="13"/>
      <c r="P94" s="13"/>
      <c r="Q94" s="13"/>
      <c r="R94" s="13"/>
      <c r="S94" s="13"/>
      <c r="T94" s="13"/>
    </row>
    <row r="95">
      <c r="K95" s="13"/>
      <c r="L95" s="13"/>
      <c r="M95" s="13"/>
      <c r="N95" s="13"/>
      <c r="O95" s="13"/>
      <c r="P95" s="13"/>
      <c r="Q95" s="13"/>
      <c r="R95" s="13"/>
      <c r="S95" s="13"/>
      <c r="T95" s="13"/>
    </row>
    <row r="96">
      <c r="K96" s="13"/>
      <c r="L96" s="13"/>
      <c r="M96" s="13"/>
      <c r="N96" s="13"/>
      <c r="O96" s="13"/>
      <c r="P96" s="13"/>
      <c r="Q96" s="13"/>
      <c r="R96" s="13"/>
      <c r="S96" s="13"/>
      <c r="T96" s="13"/>
    </row>
    <row r="97">
      <c r="K97" s="13"/>
      <c r="L97" s="13"/>
      <c r="M97" s="13"/>
      <c r="N97" s="13"/>
      <c r="O97" s="13"/>
      <c r="P97" s="13"/>
      <c r="Q97" s="13"/>
      <c r="R97" s="13"/>
      <c r="S97" s="13"/>
      <c r="T97" s="13"/>
    </row>
    <row r="98">
      <c r="K98" s="13"/>
      <c r="L98" s="13"/>
      <c r="M98" s="13"/>
      <c r="N98" s="13"/>
      <c r="O98" s="13"/>
      <c r="P98" s="13"/>
      <c r="Q98" s="13"/>
      <c r="R98" s="13"/>
      <c r="S98" s="13"/>
      <c r="T98" s="13"/>
    </row>
    <row r="99">
      <c r="K99" s="13"/>
      <c r="L99" s="13"/>
      <c r="M99" s="13"/>
      <c r="N99" s="13"/>
      <c r="O99" s="13"/>
      <c r="P99" s="13"/>
      <c r="Q99" s="13"/>
      <c r="R99" s="13"/>
      <c r="S99" s="13"/>
      <c r="T99" s="13"/>
    </row>
    <row r="100">
      <c r="K100" s="13"/>
      <c r="L100" s="13"/>
      <c r="M100" s="13"/>
      <c r="N100" s="13"/>
      <c r="O100" s="13"/>
      <c r="P100" s="13"/>
      <c r="Q100" s="13"/>
      <c r="R100" s="13"/>
      <c r="S100" s="13"/>
      <c r="T100" s="13"/>
    </row>
    <row r="101">
      <c r="K101" s="13"/>
      <c r="L101" s="13"/>
      <c r="M101" s="13"/>
      <c r="N101" s="13"/>
      <c r="O101" s="13"/>
      <c r="P101" s="13"/>
      <c r="Q101" s="13"/>
      <c r="R101" s="13"/>
      <c r="S101" s="13"/>
      <c r="T101" s="13"/>
    </row>
    <row r="102">
      <c r="K102" s="13"/>
      <c r="L102" s="13"/>
      <c r="M102" s="13"/>
      <c r="N102" s="13"/>
      <c r="O102" s="13"/>
      <c r="P102" s="13"/>
      <c r="Q102" s="13"/>
      <c r="R102" s="13"/>
      <c r="S102" s="13"/>
      <c r="T102" s="13"/>
    </row>
    <row r="103">
      <c r="K103" s="13"/>
      <c r="L103" s="13"/>
      <c r="M103" s="13"/>
      <c r="N103" s="13"/>
      <c r="O103" s="13"/>
      <c r="P103" s="13"/>
      <c r="Q103" s="13"/>
      <c r="R103" s="13"/>
      <c r="S103" s="13"/>
      <c r="T103" s="13"/>
    </row>
    <row r="104">
      <c r="K104" s="13"/>
      <c r="L104" s="13"/>
      <c r="M104" s="13"/>
      <c r="N104" s="13"/>
      <c r="O104" s="13"/>
      <c r="P104" s="13"/>
      <c r="Q104" s="13"/>
      <c r="R104" s="13"/>
      <c r="S104" s="13"/>
      <c r="T104" s="13"/>
    </row>
    <row r="105">
      <c r="K105" s="13"/>
      <c r="L105" s="13"/>
      <c r="M105" s="13"/>
      <c r="N105" s="13"/>
      <c r="O105" s="13"/>
      <c r="P105" s="13"/>
      <c r="Q105" s="13"/>
      <c r="R105" s="13"/>
      <c r="S105" s="13"/>
      <c r="T105" s="13"/>
    </row>
    <row r="106">
      <c r="K106" s="13"/>
      <c r="L106" s="13"/>
      <c r="M106" s="13"/>
      <c r="N106" s="13"/>
      <c r="O106" s="13"/>
      <c r="P106" s="13"/>
      <c r="Q106" s="13"/>
      <c r="R106" s="13"/>
      <c r="S106" s="13"/>
      <c r="T106" s="13"/>
    </row>
    <row r="107">
      <c r="K107" s="13"/>
      <c r="L107" s="13"/>
      <c r="M107" s="13"/>
      <c r="N107" s="13"/>
      <c r="O107" s="13"/>
      <c r="P107" s="13"/>
      <c r="Q107" s="13"/>
      <c r="R107" s="13"/>
      <c r="S107" s="13"/>
      <c r="T107" s="13"/>
    </row>
    <row r="108">
      <c r="K108" s="13"/>
      <c r="L108" s="13"/>
      <c r="M108" s="13"/>
      <c r="N108" s="13"/>
      <c r="O108" s="13"/>
      <c r="P108" s="13"/>
      <c r="Q108" s="13"/>
      <c r="R108" s="13"/>
      <c r="S108" s="13"/>
      <c r="T108" s="13"/>
    </row>
    <row r="109">
      <c r="K109" s="13"/>
      <c r="L109" s="13"/>
      <c r="M109" s="13"/>
      <c r="N109" s="13"/>
      <c r="O109" s="13"/>
      <c r="P109" s="13"/>
      <c r="Q109" s="13"/>
      <c r="R109" s="13"/>
      <c r="S109" s="13"/>
      <c r="T109" s="13"/>
    </row>
    <row r="110">
      <c r="K110" s="13"/>
      <c r="L110" s="13"/>
      <c r="M110" s="13"/>
      <c r="N110" s="13"/>
      <c r="O110" s="13"/>
      <c r="P110" s="13"/>
      <c r="Q110" s="13"/>
      <c r="R110" s="13"/>
      <c r="S110" s="13"/>
      <c r="T110" s="13"/>
    </row>
    <row r="111">
      <c r="K111" s="13"/>
      <c r="L111" s="13"/>
      <c r="M111" s="13"/>
      <c r="N111" s="13"/>
      <c r="O111" s="13"/>
      <c r="P111" s="13"/>
      <c r="Q111" s="13"/>
      <c r="R111" s="13"/>
      <c r="S111" s="13"/>
      <c r="T111" s="13"/>
    </row>
    <row r="112">
      <c r="K112" s="13"/>
      <c r="L112" s="13"/>
      <c r="M112" s="13"/>
      <c r="N112" s="13"/>
      <c r="O112" s="13"/>
      <c r="P112" s="13"/>
      <c r="Q112" s="13"/>
      <c r="R112" s="13"/>
      <c r="S112" s="13"/>
      <c r="T112" s="13"/>
    </row>
    <row r="113">
      <c r="K113" s="13"/>
      <c r="L113" s="13"/>
      <c r="M113" s="13"/>
      <c r="N113" s="13"/>
      <c r="O113" s="13"/>
      <c r="P113" s="13"/>
      <c r="Q113" s="13"/>
      <c r="R113" s="13"/>
      <c r="S113" s="13"/>
      <c r="T113" s="13"/>
    </row>
    <row r="114">
      <c r="K114" s="13"/>
      <c r="L114" s="13"/>
      <c r="M114" s="13"/>
      <c r="N114" s="13"/>
      <c r="O114" s="13"/>
      <c r="P114" s="13"/>
      <c r="Q114" s="13"/>
      <c r="R114" s="13"/>
      <c r="S114" s="13"/>
      <c r="T114" s="13"/>
    </row>
    <row r="115">
      <c r="K115" s="13"/>
      <c r="L115" s="13"/>
      <c r="M115" s="13"/>
      <c r="N115" s="13"/>
      <c r="O115" s="13"/>
      <c r="P115" s="13"/>
      <c r="Q115" s="13"/>
      <c r="R115" s="13"/>
      <c r="S115" s="13"/>
      <c r="T115" s="13"/>
    </row>
    <row r="116">
      <c r="K116" s="13"/>
      <c r="L116" s="13"/>
      <c r="M116" s="13"/>
      <c r="N116" s="13"/>
      <c r="O116" s="13"/>
      <c r="P116" s="13"/>
      <c r="Q116" s="13"/>
      <c r="R116" s="13"/>
      <c r="S116" s="13"/>
      <c r="T116" s="13"/>
    </row>
    <row r="117">
      <c r="K117" s="13"/>
      <c r="L117" s="13"/>
      <c r="M117" s="13"/>
      <c r="N117" s="13"/>
      <c r="O117" s="13"/>
      <c r="P117" s="13"/>
      <c r="Q117" s="13"/>
      <c r="R117" s="13"/>
      <c r="S117" s="13"/>
      <c r="T117" s="13"/>
    </row>
    <row r="118">
      <c r="K118" s="13"/>
      <c r="L118" s="13"/>
      <c r="M118" s="13"/>
      <c r="N118" s="13"/>
      <c r="O118" s="13"/>
      <c r="P118" s="13"/>
      <c r="Q118" s="13"/>
      <c r="R118" s="13"/>
      <c r="S118" s="13"/>
      <c r="T118" s="13"/>
    </row>
    <row r="119">
      <c r="K119" s="13"/>
      <c r="L119" s="13"/>
      <c r="M119" s="13"/>
      <c r="N119" s="13"/>
      <c r="O119" s="13"/>
      <c r="P119" s="13"/>
      <c r="Q119" s="13"/>
      <c r="R119" s="13"/>
      <c r="S119" s="13"/>
      <c r="T119" s="13"/>
    </row>
    <row r="120">
      <c r="K120" s="13"/>
      <c r="L120" s="13"/>
      <c r="M120" s="13"/>
      <c r="N120" s="13"/>
      <c r="O120" s="13"/>
      <c r="P120" s="13"/>
      <c r="Q120" s="13"/>
      <c r="R120" s="13"/>
      <c r="S120" s="13"/>
      <c r="T120" s="13"/>
    </row>
    <row r="121">
      <c r="K121" s="13"/>
      <c r="L121" s="13"/>
      <c r="M121" s="13"/>
      <c r="N121" s="13"/>
      <c r="O121" s="13"/>
      <c r="P121" s="13"/>
      <c r="Q121" s="13"/>
      <c r="R121" s="13"/>
      <c r="S121" s="13"/>
      <c r="T121" s="13"/>
    </row>
    <row r="122">
      <c r="K122" s="13"/>
      <c r="L122" s="13"/>
      <c r="M122" s="13"/>
      <c r="N122" s="13"/>
      <c r="O122" s="13"/>
      <c r="P122" s="13"/>
      <c r="Q122" s="13"/>
      <c r="R122" s="13"/>
      <c r="S122" s="13"/>
      <c r="T122" s="13"/>
    </row>
    <row r="123">
      <c r="K123" s="13"/>
      <c r="L123" s="13"/>
      <c r="M123" s="13"/>
      <c r="N123" s="13"/>
      <c r="O123" s="13"/>
      <c r="P123" s="13"/>
      <c r="Q123" s="13"/>
      <c r="R123" s="13"/>
      <c r="S123" s="13"/>
      <c r="T123" s="13"/>
    </row>
    <row r="124">
      <c r="K124" s="13"/>
      <c r="L124" s="13"/>
      <c r="M124" s="13"/>
      <c r="N124" s="13"/>
      <c r="O124" s="13"/>
      <c r="P124" s="13"/>
      <c r="Q124" s="13"/>
      <c r="R124" s="13"/>
      <c r="S124" s="13"/>
      <c r="T124" s="13"/>
    </row>
    <row r="125">
      <c r="K125" s="13"/>
      <c r="L125" s="13"/>
      <c r="M125" s="13"/>
      <c r="N125" s="13"/>
      <c r="O125" s="13"/>
      <c r="P125" s="13"/>
      <c r="Q125" s="13"/>
      <c r="R125" s="13"/>
      <c r="S125" s="13"/>
      <c r="T125" s="13"/>
    </row>
    <row r="126">
      <c r="K126" s="13"/>
      <c r="L126" s="13"/>
      <c r="M126" s="13"/>
      <c r="N126" s="13"/>
      <c r="O126" s="13"/>
      <c r="P126" s="13"/>
      <c r="Q126" s="13"/>
      <c r="R126" s="13"/>
      <c r="S126" s="13"/>
      <c r="T126" s="13"/>
    </row>
    <row r="127">
      <c r="K127" s="13"/>
      <c r="L127" s="13"/>
      <c r="M127" s="13"/>
      <c r="N127" s="13"/>
      <c r="O127" s="13"/>
      <c r="P127" s="13"/>
      <c r="Q127" s="13"/>
      <c r="R127" s="13"/>
      <c r="S127" s="13"/>
      <c r="T127" s="13"/>
    </row>
    <row r="128">
      <c r="K128" s="13"/>
      <c r="L128" s="13"/>
      <c r="M128" s="13"/>
      <c r="N128" s="13"/>
      <c r="O128" s="13"/>
      <c r="P128" s="13"/>
      <c r="Q128" s="13"/>
      <c r="R128" s="13"/>
      <c r="S128" s="13"/>
      <c r="T128" s="13"/>
    </row>
    <row r="129">
      <c r="K129" s="13"/>
      <c r="L129" s="13"/>
      <c r="M129" s="13"/>
      <c r="N129" s="13"/>
      <c r="O129" s="13"/>
      <c r="P129" s="13"/>
      <c r="Q129" s="13"/>
      <c r="R129" s="13"/>
      <c r="S129" s="13"/>
      <c r="T129" s="13"/>
    </row>
    <row r="130">
      <c r="K130" s="13"/>
      <c r="L130" s="13"/>
      <c r="M130" s="13"/>
      <c r="N130" s="13"/>
      <c r="O130" s="13"/>
      <c r="P130" s="13"/>
      <c r="Q130" s="13"/>
      <c r="R130" s="13"/>
      <c r="S130" s="13"/>
      <c r="T130" s="13"/>
    </row>
    <row r="131">
      <c r="K131" s="13"/>
      <c r="L131" s="13"/>
      <c r="M131" s="13"/>
      <c r="N131" s="13"/>
      <c r="O131" s="13"/>
      <c r="P131" s="13"/>
      <c r="Q131" s="13"/>
      <c r="R131" s="13"/>
      <c r="S131" s="13"/>
      <c r="T131" s="13"/>
    </row>
    <row r="132">
      <c r="K132" s="13"/>
      <c r="L132" s="13"/>
      <c r="M132" s="13"/>
      <c r="N132" s="13"/>
      <c r="O132" s="13"/>
      <c r="P132" s="13"/>
      <c r="Q132" s="13"/>
      <c r="R132" s="13"/>
      <c r="S132" s="13"/>
      <c r="T132" s="13"/>
    </row>
    <row r="133">
      <c r="K133" s="13"/>
      <c r="L133" s="13"/>
      <c r="M133" s="13"/>
      <c r="N133" s="13"/>
      <c r="O133" s="13"/>
      <c r="P133" s="13"/>
      <c r="Q133" s="13"/>
      <c r="R133" s="13"/>
      <c r="S133" s="13"/>
      <c r="T133" s="13"/>
    </row>
    <row r="134">
      <c r="K134" s="13"/>
      <c r="L134" s="13"/>
      <c r="M134" s="13"/>
      <c r="N134" s="13"/>
      <c r="O134" s="13"/>
      <c r="P134" s="13"/>
      <c r="Q134" s="13"/>
      <c r="R134" s="13"/>
      <c r="S134" s="13"/>
      <c r="T134" s="13"/>
    </row>
    <row r="135">
      <c r="K135" s="13"/>
      <c r="L135" s="13"/>
      <c r="M135" s="13"/>
      <c r="N135" s="13"/>
      <c r="O135" s="13"/>
      <c r="P135" s="13"/>
      <c r="Q135" s="13"/>
      <c r="R135" s="13"/>
      <c r="S135" s="13"/>
      <c r="T135" s="13"/>
    </row>
    <row r="136">
      <c r="K136" s="13"/>
      <c r="L136" s="13"/>
      <c r="M136" s="13"/>
      <c r="N136" s="13"/>
      <c r="O136" s="13"/>
      <c r="P136" s="13"/>
      <c r="Q136" s="13"/>
      <c r="R136" s="13"/>
      <c r="S136" s="13"/>
      <c r="T136" s="13"/>
    </row>
    <row r="137">
      <c r="K137" s="13"/>
      <c r="L137" s="13"/>
      <c r="M137" s="13"/>
      <c r="N137" s="13"/>
      <c r="O137" s="13"/>
      <c r="P137" s="13"/>
      <c r="Q137" s="13"/>
      <c r="R137" s="13"/>
      <c r="S137" s="13"/>
      <c r="T137" s="13"/>
    </row>
    <row r="138">
      <c r="K138" s="13"/>
      <c r="L138" s="13"/>
      <c r="M138" s="13"/>
      <c r="N138" s="13"/>
      <c r="O138" s="13"/>
      <c r="P138" s="13"/>
      <c r="Q138" s="13"/>
      <c r="R138" s="13"/>
      <c r="S138" s="13"/>
      <c r="T138" s="13"/>
    </row>
    <row r="139">
      <c r="K139" s="13"/>
      <c r="L139" s="13"/>
      <c r="M139" s="13"/>
      <c r="N139" s="13"/>
      <c r="O139" s="13"/>
      <c r="P139" s="13"/>
      <c r="Q139" s="13"/>
      <c r="R139" s="13"/>
      <c r="S139" s="13"/>
      <c r="T139" s="13"/>
    </row>
    <row r="140">
      <c r="K140" s="13"/>
      <c r="L140" s="13"/>
      <c r="M140" s="13"/>
      <c r="N140" s="13"/>
      <c r="O140" s="13"/>
      <c r="P140" s="13"/>
      <c r="Q140" s="13"/>
      <c r="R140" s="13"/>
      <c r="S140" s="13"/>
      <c r="T140" s="13"/>
    </row>
    <row r="141">
      <c r="K141" s="13"/>
      <c r="L141" s="13"/>
      <c r="M141" s="13"/>
      <c r="N141" s="13"/>
      <c r="O141" s="13"/>
      <c r="P141" s="13"/>
      <c r="Q141" s="13"/>
      <c r="R141" s="13"/>
      <c r="S141" s="13"/>
      <c r="T141" s="13"/>
    </row>
    <row r="142">
      <c r="K142" s="13"/>
      <c r="L142" s="13"/>
      <c r="M142" s="13"/>
      <c r="N142" s="13"/>
      <c r="O142" s="13"/>
      <c r="P142" s="13"/>
      <c r="Q142" s="13"/>
      <c r="R142" s="13"/>
      <c r="S142" s="13"/>
      <c r="T142" s="13"/>
    </row>
    <row r="143">
      <c r="K143" s="13"/>
      <c r="L143" s="13"/>
      <c r="M143" s="13"/>
      <c r="N143" s="13"/>
      <c r="O143" s="13"/>
      <c r="P143" s="13"/>
      <c r="Q143" s="13"/>
      <c r="R143" s="13"/>
      <c r="S143" s="13"/>
      <c r="T143" s="13"/>
    </row>
    <row r="144">
      <c r="K144" s="13"/>
      <c r="L144" s="13"/>
      <c r="M144" s="13"/>
      <c r="N144" s="13"/>
      <c r="O144" s="13"/>
      <c r="P144" s="13"/>
      <c r="Q144" s="13"/>
      <c r="R144" s="13"/>
      <c r="S144" s="13"/>
      <c r="T144" s="13"/>
    </row>
    <row r="145">
      <c r="K145" s="13"/>
      <c r="L145" s="13"/>
      <c r="M145" s="13"/>
      <c r="N145" s="13"/>
      <c r="O145" s="13"/>
      <c r="P145" s="13"/>
      <c r="Q145" s="13"/>
      <c r="R145" s="13"/>
      <c r="S145" s="13"/>
      <c r="T145" s="13"/>
    </row>
    <row r="146">
      <c r="K146" s="13"/>
      <c r="L146" s="13"/>
      <c r="M146" s="13"/>
      <c r="N146" s="13"/>
      <c r="O146" s="13"/>
      <c r="P146" s="13"/>
      <c r="Q146" s="13"/>
      <c r="R146" s="13"/>
      <c r="S146" s="13"/>
      <c r="T146" s="13"/>
    </row>
    <row r="147">
      <c r="K147" s="13"/>
      <c r="L147" s="13"/>
      <c r="M147" s="13"/>
      <c r="N147" s="13"/>
      <c r="O147" s="13"/>
      <c r="P147" s="13"/>
      <c r="Q147" s="13"/>
      <c r="R147" s="13"/>
      <c r="S147" s="13"/>
      <c r="T147" s="13"/>
    </row>
    <row r="148">
      <c r="K148" s="13"/>
      <c r="L148" s="13"/>
      <c r="M148" s="13"/>
      <c r="N148" s="13"/>
      <c r="O148" s="13"/>
      <c r="P148" s="13"/>
      <c r="Q148" s="13"/>
      <c r="R148" s="13"/>
      <c r="S148" s="13"/>
      <c r="T148" s="13"/>
    </row>
    <row r="149">
      <c r="K149" s="13"/>
      <c r="L149" s="13"/>
      <c r="M149" s="13"/>
      <c r="N149" s="13"/>
      <c r="O149" s="13"/>
      <c r="P149" s="13"/>
      <c r="Q149" s="13"/>
      <c r="R149" s="13"/>
      <c r="S149" s="13"/>
      <c r="T149" s="13"/>
    </row>
    <row r="150">
      <c r="K150" s="13"/>
      <c r="L150" s="13"/>
      <c r="M150" s="13"/>
      <c r="N150" s="13"/>
      <c r="O150" s="13"/>
      <c r="P150" s="13"/>
      <c r="Q150" s="13"/>
      <c r="R150" s="13"/>
      <c r="S150" s="13"/>
      <c r="T150" s="13"/>
    </row>
    <row r="151">
      <c r="K151" s="13"/>
      <c r="L151" s="13"/>
      <c r="M151" s="13"/>
      <c r="N151" s="13"/>
      <c r="O151" s="13"/>
      <c r="P151" s="13"/>
      <c r="Q151" s="13"/>
      <c r="R151" s="13"/>
      <c r="S151" s="13"/>
      <c r="T151" s="13"/>
    </row>
    <row r="152">
      <c r="K152" s="13"/>
      <c r="L152" s="13"/>
      <c r="M152" s="13"/>
      <c r="N152" s="13"/>
      <c r="O152" s="13"/>
      <c r="P152" s="13"/>
      <c r="Q152" s="13"/>
      <c r="R152" s="13"/>
      <c r="S152" s="13"/>
      <c r="T152" s="13"/>
    </row>
    <row r="153">
      <c r="K153" s="13"/>
      <c r="L153" s="13"/>
      <c r="M153" s="13"/>
      <c r="N153" s="13"/>
      <c r="O153" s="13"/>
      <c r="P153" s="13"/>
      <c r="Q153" s="13"/>
      <c r="R153" s="13"/>
      <c r="S153" s="13"/>
      <c r="T153" s="13"/>
    </row>
    <row r="154">
      <c r="K154" s="13"/>
      <c r="L154" s="13"/>
      <c r="M154" s="13"/>
      <c r="N154" s="13"/>
      <c r="O154" s="13"/>
      <c r="P154" s="13"/>
      <c r="Q154" s="13"/>
      <c r="R154" s="13"/>
      <c r="S154" s="13"/>
      <c r="T154" s="13"/>
    </row>
    <row r="155">
      <c r="K155" s="13"/>
      <c r="L155" s="13"/>
      <c r="M155" s="13"/>
      <c r="N155" s="13"/>
      <c r="O155" s="13"/>
      <c r="P155" s="13"/>
      <c r="Q155" s="13"/>
      <c r="R155" s="13"/>
      <c r="S155" s="13"/>
      <c r="T155" s="13"/>
    </row>
    <row r="156">
      <c r="K156" s="13"/>
      <c r="L156" s="13"/>
      <c r="M156" s="13"/>
      <c r="N156" s="13"/>
      <c r="O156" s="13"/>
      <c r="P156" s="13"/>
      <c r="Q156" s="13"/>
      <c r="R156" s="13"/>
      <c r="S156" s="13"/>
      <c r="T156" s="13"/>
    </row>
    <row r="157">
      <c r="K157" s="13"/>
      <c r="L157" s="13"/>
      <c r="M157" s="13"/>
      <c r="N157" s="13"/>
      <c r="O157" s="13"/>
      <c r="P157" s="13"/>
      <c r="Q157" s="13"/>
      <c r="R157" s="13"/>
      <c r="S157" s="13"/>
      <c r="T157" s="13"/>
    </row>
    <row r="158">
      <c r="K158" s="13"/>
      <c r="L158" s="13"/>
      <c r="M158" s="13"/>
      <c r="N158" s="13"/>
      <c r="O158" s="13"/>
      <c r="P158" s="13"/>
      <c r="Q158" s="13"/>
      <c r="R158" s="13"/>
      <c r="S158" s="13"/>
      <c r="T158" s="13"/>
    </row>
    <row r="159">
      <c r="K159" s="13"/>
      <c r="L159" s="13"/>
      <c r="M159" s="13"/>
      <c r="N159" s="13"/>
      <c r="O159" s="13"/>
      <c r="P159" s="13"/>
      <c r="Q159" s="13"/>
      <c r="R159" s="13"/>
      <c r="S159" s="13"/>
      <c r="T159" s="13"/>
    </row>
    <row r="160">
      <c r="K160" s="13"/>
      <c r="L160" s="13"/>
      <c r="M160" s="13"/>
      <c r="N160" s="13"/>
      <c r="O160" s="13"/>
      <c r="P160" s="13"/>
      <c r="Q160" s="13"/>
      <c r="R160" s="13"/>
      <c r="S160" s="13"/>
      <c r="T160" s="13"/>
    </row>
    <row r="161">
      <c r="K161" s="13"/>
      <c r="L161" s="13"/>
      <c r="M161" s="13"/>
      <c r="N161" s="13"/>
      <c r="O161" s="13"/>
      <c r="P161" s="13"/>
      <c r="Q161" s="13"/>
      <c r="R161" s="13"/>
      <c r="S161" s="13"/>
      <c r="T161" s="13"/>
    </row>
    <row r="162">
      <c r="K162" s="13"/>
      <c r="L162" s="13"/>
      <c r="M162" s="13"/>
      <c r="N162" s="13"/>
      <c r="O162" s="13"/>
      <c r="P162" s="13"/>
      <c r="Q162" s="13"/>
      <c r="R162" s="13"/>
      <c r="S162" s="13"/>
      <c r="T162" s="13"/>
    </row>
    <row r="163">
      <c r="K163" s="13"/>
      <c r="L163" s="13"/>
      <c r="M163" s="13"/>
      <c r="N163" s="13"/>
      <c r="O163" s="13"/>
      <c r="P163" s="13"/>
      <c r="Q163" s="13"/>
      <c r="R163" s="13"/>
      <c r="S163" s="13"/>
      <c r="T163" s="13"/>
    </row>
    <row r="164">
      <c r="K164" s="13"/>
      <c r="L164" s="13"/>
      <c r="M164" s="13"/>
      <c r="N164" s="13"/>
      <c r="O164" s="13"/>
      <c r="P164" s="13"/>
      <c r="Q164" s="13"/>
      <c r="R164" s="13"/>
      <c r="S164" s="13"/>
      <c r="T164" s="13"/>
    </row>
    <row r="165">
      <c r="K165" s="13"/>
      <c r="L165" s="13"/>
      <c r="M165" s="13"/>
      <c r="N165" s="13"/>
      <c r="O165" s="13"/>
      <c r="P165" s="13"/>
      <c r="Q165" s="13"/>
      <c r="R165" s="13"/>
      <c r="S165" s="13"/>
      <c r="T165" s="13"/>
    </row>
    <row r="166">
      <c r="K166" s="13"/>
      <c r="L166" s="13"/>
      <c r="M166" s="13"/>
      <c r="N166" s="13"/>
      <c r="O166" s="13"/>
      <c r="P166" s="13"/>
      <c r="Q166" s="13"/>
      <c r="R166" s="13"/>
      <c r="S166" s="13"/>
      <c r="T166" s="13"/>
    </row>
    <row r="167">
      <c r="K167" s="13"/>
      <c r="L167" s="13"/>
      <c r="M167" s="13"/>
      <c r="N167" s="13"/>
      <c r="O167" s="13"/>
      <c r="P167" s="13"/>
      <c r="Q167" s="13"/>
      <c r="R167" s="13"/>
      <c r="S167" s="13"/>
      <c r="T167" s="13"/>
    </row>
    <row r="168">
      <c r="K168" s="13"/>
      <c r="L168" s="13"/>
      <c r="M168" s="13"/>
      <c r="N168" s="13"/>
      <c r="O168" s="13"/>
      <c r="P168" s="13"/>
      <c r="Q168" s="13"/>
      <c r="R168" s="13"/>
      <c r="S168" s="13"/>
      <c r="T168" s="13"/>
    </row>
    <row r="169">
      <c r="K169" s="13"/>
      <c r="L169" s="13"/>
      <c r="M169" s="13"/>
      <c r="N169" s="13"/>
      <c r="O169" s="13"/>
      <c r="P169" s="13"/>
      <c r="Q169" s="13"/>
      <c r="R169" s="13"/>
      <c r="S169" s="13"/>
      <c r="T169" s="13"/>
    </row>
    <row r="170">
      <c r="K170" s="13"/>
      <c r="L170" s="13"/>
      <c r="M170" s="13"/>
      <c r="N170" s="13"/>
      <c r="O170" s="13"/>
      <c r="P170" s="13"/>
      <c r="Q170" s="13"/>
      <c r="R170" s="13"/>
      <c r="S170" s="13"/>
      <c r="T170" s="13"/>
    </row>
    <row r="171">
      <c r="K171" s="13"/>
      <c r="L171" s="13"/>
      <c r="M171" s="13"/>
      <c r="N171" s="13"/>
      <c r="O171" s="13"/>
      <c r="P171" s="13"/>
      <c r="Q171" s="13"/>
      <c r="R171" s="13"/>
      <c r="S171" s="13"/>
      <c r="T171" s="13"/>
    </row>
    <row r="172">
      <c r="K172" s="13"/>
      <c r="L172" s="13"/>
      <c r="M172" s="13"/>
      <c r="N172" s="13"/>
      <c r="O172" s="13"/>
      <c r="P172" s="13"/>
      <c r="Q172" s="13"/>
      <c r="R172" s="13"/>
      <c r="S172" s="13"/>
      <c r="T172" s="13"/>
    </row>
    <row r="173">
      <c r="K173" s="13"/>
      <c r="L173" s="13"/>
      <c r="M173" s="13"/>
      <c r="N173" s="13"/>
      <c r="O173" s="13"/>
      <c r="P173" s="13"/>
      <c r="Q173" s="13"/>
      <c r="R173" s="13"/>
      <c r="S173" s="13"/>
      <c r="T173" s="13"/>
    </row>
    <row r="174">
      <c r="K174" s="13"/>
      <c r="L174" s="13"/>
      <c r="M174" s="13"/>
      <c r="N174" s="13"/>
      <c r="O174" s="13"/>
      <c r="P174" s="13"/>
      <c r="Q174" s="13"/>
      <c r="R174" s="13"/>
      <c r="S174" s="13"/>
      <c r="T174" s="13"/>
    </row>
    <row r="175">
      <c r="K175" s="13"/>
      <c r="L175" s="13"/>
      <c r="M175" s="13"/>
      <c r="N175" s="13"/>
      <c r="O175" s="13"/>
      <c r="P175" s="13"/>
      <c r="Q175" s="13"/>
      <c r="R175" s="13"/>
      <c r="S175" s="13"/>
      <c r="T175" s="13"/>
    </row>
    <row r="176">
      <c r="K176" s="13"/>
      <c r="L176" s="13"/>
      <c r="M176" s="13"/>
      <c r="N176" s="13"/>
      <c r="O176" s="13"/>
      <c r="P176" s="13"/>
      <c r="Q176" s="13"/>
      <c r="R176" s="13"/>
      <c r="S176" s="13"/>
      <c r="T176" s="13"/>
    </row>
    <row r="177">
      <c r="K177" s="13"/>
      <c r="L177" s="13"/>
      <c r="M177" s="13"/>
      <c r="N177" s="13"/>
      <c r="O177" s="13"/>
      <c r="P177" s="13"/>
      <c r="Q177" s="13"/>
      <c r="R177" s="13"/>
      <c r="S177" s="13"/>
      <c r="T177" s="13"/>
    </row>
    <row r="178">
      <c r="K178" s="13"/>
      <c r="L178" s="13"/>
      <c r="M178" s="13"/>
      <c r="N178" s="13"/>
      <c r="O178" s="13"/>
      <c r="P178" s="13"/>
      <c r="Q178" s="13"/>
      <c r="R178" s="13"/>
      <c r="S178" s="13"/>
      <c r="T178" s="13"/>
    </row>
    <row r="179">
      <c r="K179" s="13"/>
      <c r="L179" s="13"/>
      <c r="M179" s="13"/>
      <c r="N179" s="13"/>
      <c r="O179" s="13"/>
      <c r="P179" s="13"/>
      <c r="Q179" s="13"/>
      <c r="R179" s="13"/>
      <c r="S179" s="13"/>
      <c r="T179" s="13"/>
    </row>
    <row r="180">
      <c r="K180" s="13"/>
      <c r="L180" s="13"/>
      <c r="M180" s="13"/>
      <c r="N180" s="13"/>
      <c r="O180" s="13"/>
      <c r="P180" s="13"/>
      <c r="Q180" s="13"/>
      <c r="R180" s="13"/>
      <c r="S180" s="13"/>
      <c r="T180" s="13"/>
    </row>
    <row r="181">
      <c r="K181" s="13"/>
      <c r="L181" s="13"/>
      <c r="M181" s="13"/>
      <c r="N181" s="13"/>
      <c r="O181" s="13"/>
      <c r="P181" s="13"/>
      <c r="Q181" s="13"/>
      <c r="R181" s="13"/>
      <c r="S181" s="13"/>
      <c r="T181" s="13"/>
    </row>
    <row r="182">
      <c r="K182" s="13"/>
      <c r="L182" s="13"/>
      <c r="M182" s="13"/>
      <c r="N182" s="13"/>
      <c r="O182" s="13"/>
      <c r="P182" s="13"/>
      <c r="Q182" s="13"/>
      <c r="R182" s="13"/>
      <c r="S182" s="13"/>
      <c r="T182" s="13"/>
    </row>
    <row r="183">
      <c r="K183" s="13"/>
      <c r="L183" s="13"/>
      <c r="M183" s="13"/>
      <c r="N183" s="13"/>
      <c r="O183" s="13"/>
      <c r="P183" s="13"/>
      <c r="Q183" s="13"/>
      <c r="R183" s="13"/>
      <c r="S183" s="13"/>
      <c r="T183" s="13"/>
    </row>
    <row r="184">
      <c r="K184" s="13"/>
      <c r="L184" s="13"/>
      <c r="M184" s="13"/>
      <c r="N184" s="13"/>
      <c r="O184" s="13"/>
      <c r="P184" s="13"/>
      <c r="Q184" s="13"/>
      <c r="R184" s="13"/>
      <c r="S184" s="13"/>
      <c r="T184" s="13"/>
    </row>
    <row r="185">
      <c r="K185" s="13"/>
      <c r="L185" s="13"/>
      <c r="M185" s="13"/>
      <c r="N185" s="13"/>
      <c r="O185" s="13"/>
      <c r="P185" s="13"/>
      <c r="Q185" s="13"/>
      <c r="R185" s="13"/>
      <c r="S185" s="13"/>
      <c r="T185" s="13"/>
    </row>
    <row r="186">
      <c r="K186" s="13"/>
      <c r="L186" s="13"/>
      <c r="M186" s="13"/>
      <c r="N186" s="13"/>
      <c r="O186" s="13"/>
      <c r="P186" s="13"/>
      <c r="Q186" s="13"/>
      <c r="R186" s="13"/>
      <c r="S186" s="13"/>
      <c r="T186" s="13"/>
    </row>
    <row r="187">
      <c r="K187" s="13"/>
      <c r="L187" s="13"/>
      <c r="M187" s="13"/>
      <c r="N187" s="13"/>
      <c r="O187" s="13"/>
      <c r="P187" s="13"/>
      <c r="Q187" s="13"/>
      <c r="R187" s="13"/>
      <c r="S187" s="13"/>
      <c r="T187" s="13"/>
    </row>
    <row r="188">
      <c r="K188" s="13"/>
      <c r="L188" s="13"/>
      <c r="M188" s="13"/>
      <c r="N188" s="13"/>
      <c r="O188" s="13"/>
      <c r="P188" s="13"/>
      <c r="Q188" s="13"/>
      <c r="R188" s="13"/>
      <c r="S188" s="13"/>
      <c r="T188" s="13"/>
    </row>
    <row r="189">
      <c r="K189" s="13"/>
      <c r="L189" s="13"/>
      <c r="M189" s="13"/>
      <c r="N189" s="13"/>
      <c r="O189" s="13"/>
      <c r="P189" s="13"/>
      <c r="Q189" s="13"/>
      <c r="R189" s="13"/>
      <c r="S189" s="13"/>
      <c r="T189" s="13"/>
    </row>
    <row r="190">
      <c r="K190" s="13"/>
      <c r="L190" s="13"/>
      <c r="M190" s="13"/>
      <c r="N190" s="13"/>
      <c r="O190" s="13"/>
      <c r="P190" s="13"/>
      <c r="Q190" s="13"/>
      <c r="R190" s="13"/>
      <c r="S190" s="13"/>
      <c r="T190" s="13"/>
    </row>
    <row r="191">
      <c r="K191" s="13"/>
      <c r="L191" s="13"/>
      <c r="M191" s="13"/>
      <c r="N191" s="13"/>
      <c r="O191" s="13"/>
      <c r="P191" s="13"/>
      <c r="Q191" s="13"/>
      <c r="R191" s="13"/>
      <c r="S191" s="13"/>
      <c r="T191" s="13"/>
    </row>
    <row r="192">
      <c r="K192" s="13"/>
      <c r="L192" s="13"/>
      <c r="M192" s="13"/>
      <c r="N192" s="13"/>
      <c r="O192" s="13"/>
      <c r="P192" s="13"/>
      <c r="Q192" s="13"/>
      <c r="R192" s="13"/>
      <c r="S192" s="13"/>
      <c r="T192" s="13"/>
    </row>
    <row r="193">
      <c r="K193" s="13"/>
      <c r="L193" s="13"/>
      <c r="M193" s="13"/>
      <c r="N193" s="13"/>
      <c r="O193" s="13"/>
      <c r="P193" s="13"/>
      <c r="Q193" s="13"/>
      <c r="R193" s="13"/>
      <c r="S193" s="13"/>
      <c r="T193" s="13"/>
    </row>
    <row r="194">
      <c r="K194" s="13"/>
      <c r="L194" s="13"/>
      <c r="M194" s="13"/>
      <c r="N194" s="13"/>
      <c r="O194" s="13"/>
      <c r="P194" s="13"/>
      <c r="Q194" s="13"/>
      <c r="R194" s="13"/>
      <c r="S194" s="13"/>
      <c r="T194" s="13"/>
    </row>
    <row r="195">
      <c r="K195" s="13"/>
      <c r="L195" s="13"/>
      <c r="M195" s="13"/>
      <c r="N195" s="13"/>
      <c r="O195" s="13"/>
      <c r="P195" s="13"/>
      <c r="Q195" s="13"/>
      <c r="R195" s="13"/>
      <c r="S195" s="13"/>
      <c r="T195" s="13"/>
    </row>
    <row r="196">
      <c r="K196" s="13"/>
      <c r="L196" s="13"/>
      <c r="M196" s="13"/>
      <c r="N196" s="13"/>
      <c r="O196" s="13"/>
      <c r="P196" s="13"/>
      <c r="Q196" s="13"/>
      <c r="R196" s="13"/>
      <c r="S196" s="13"/>
      <c r="T196" s="13"/>
    </row>
    <row r="197">
      <c r="K197" s="13"/>
      <c r="L197" s="13"/>
      <c r="M197" s="13"/>
      <c r="N197" s="13"/>
      <c r="O197" s="13"/>
      <c r="P197" s="13"/>
      <c r="Q197" s="13"/>
      <c r="R197" s="13"/>
      <c r="S197" s="13"/>
      <c r="T197" s="13"/>
    </row>
    <row r="198">
      <c r="K198" s="13"/>
      <c r="L198" s="13"/>
      <c r="M198" s="13"/>
      <c r="N198" s="13"/>
      <c r="O198" s="13"/>
      <c r="P198" s="13"/>
      <c r="Q198" s="13"/>
      <c r="R198" s="13"/>
      <c r="S198" s="13"/>
      <c r="T198" s="13"/>
    </row>
    <row r="199">
      <c r="K199" s="13"/>
      <c r="L199" s="13"/>
      <c r="M199" s="13"/>
      <c r="N199" s="13"/>
      <c r="O199" s="13"/>
      <c r="P199" s="13"/>
      <c r="Q199" s="13"/>
      <c r="R199" s="13"/>
      <c r="S199" s="13"/>
      <c r="T199" s="13"/>
    </row>
    <row r="200">
      <c r="K200" s="13"/>
      <c r="L200" s="13"/>
      <c r="M200" s="13"/>
      <c r="N200" s="13"/>
      <c r="O200" s="13"/>
      <c r="P200" s="13"/>
      <c r="Q200" s="13"/>
      <c r="R200" s="13"/>
      <c r="S200" s="13"/>
      <c r="T200" s="13"/>
    </row>
    <row r="201">
      <c r="K201" s="13"/>
      <c r="L201" s="13"/>
      <c r="M201" s="13"/>
      <c r="N201" s="13"/>
      <c r="O201" s="13"/>
      <c r="P201" s="13"/>
      <c r="Q201" s="13"/>
      <c r="R201" s="13"/>
      <c r="S201" s="13"/>
      <c r="T201" s="13"/>
    </row>
    <row r="202">
      <c r="K202" s="13"/>
      <c r="L202" s="13"/>
      <c r="M202" s="13"/>
      <c r="N202" s="13"/>
      <c r="O202" s="13"/>
      <c r="P202" s="13"/>
      <c r="Q202" s="13"/>
      <c r="R202" s="13"/>
      <c r="S202" s="13"/>
      <c r="T202" s="13"/>
    </row>
    <row r="203">
      <c r="K203" s="13"/>
      <c r="L203" s="13"/>
      <c r="M203" s="13"/>
      <c r="N203" s="13"/>
      <c r="O203" s="13"/>
      <c r="P203" s="13"/>
      <c r="Q203" s="13"/>
      <c r="R203" s="13"/>
      <c r="S203" s="13"/>
      <c r="T203" s="13"/>
    </row>
    <row r="204">
      <c r="K204" s="13"/>
      <c r="L204" s="13"/>
      <c r="M204" s="13"/>
      <c r="N204" s="13"/>
      <c r="O204" s="13"/>
      <c r="P204" s="13"/>
      <c r="Q204" s="13"/>
      <c r="R204" s="13"/>
      <c r="S204" s="13"/>
      <c r="T204" s="13"/>
    </row>
    <row r="205">
      <c r="K205" s="13"/>
      <c r="L205" s="13"/>
      <c r="M205" s="13"/>
      <c r="N205" s="13"/>
      <c r="O205" s="13"/>
      <c r="P205" s="13"/>
      <c r="Q205" s="13"/>
      <c r="R205" s="13"/>
      <c r="S205" s="13"/>
      <c r="T205" s="13"/>
    </row>
    <row r="206">
      <c r="K206" s="13"/>
      <c r="L206" s="13"/>
      <c r="M206" s="13"/>
      <c r="N206" s="13"/>
      <c r="O206" s="13"/>
      <c r="P206" s="13"/>
      <c r="Q206" s="13"/>
      <c r="R206" s="13"/>
      <c r="S206" s="13"/>
      <c r="T206" s="13"/>
    </row>
    <row r="207">
      <c r="K207" s="13"/>
      <c r="L207" s="13"/>
      <c r="M207" s="13"/>
      <c r="N207" s="13"/>
      <c r="O207" s="13"/>
      <c r="P207" s="13"/>
      <c r="Q207" s="13"/>
      <c r="R207" s="13"/>
      <c r="S207" s="13"/>
      <c r="T207" s="13"/>
    </row>
    <row r="208">
      <c r="K208" s="13"/>
      <c r="L208" s="13"/>
      <c r="M208" s="13"/>
      <c r="N208" s="13"/>
      <c r="O208" s="13"/>
      <c r="P208" s="13"/>
      <c r="Q208" s="13"/>
      <c r="R208" s="13"/>
      <c r="S208" s="13"/>
      <c r="T208" s="13"/>
    </row>
    <row r="209">
      <c r="K209" s="13"/>
      <c r="L209" s="13"/>
      <c r="M209" s="13"/>
      <c r="N209" s="13"/>
      <c r="O209" s="13"/>
      <c r="P209" s="13"/>
      <c r="Q209" s="13"/>
      <c r="R209" s="13"/>
      <c r="S209" s="13"/>
      <c r="T209" s="13"/>
    </row>
    <row r="210">
      <c r="K210" s="13"/>
      <c r="L210" s="13"/>
      <c r="M210" s="13"/>
      <c r="N210" s="13"/>
      <c r="O210" s="13"/>
      <c r="P210" s="13"/>
      <c r="Q210" s="13"/>
      <c r="R210" s="13"/>
      <c r="S210" s="13"/>
      <c r="T210" s="13"/>
    </row>
    <row r="211">
      <c r="K211" s="13"/>
      <c r="L211" s="13"/>
      <c r="M211" s="13"/>
      <c r="N211" s="13"/>
      <c r="O211" s="13"/>
      <c r="P211" s="13"/>
      <c r="Q211" s="13"/>
      <c r="R211" s="13"/>
      <c r="S211" s="13"/>
      <c r="T211" s="13"/>
    </row>
    <row r="212">
      <c r="K212" s="13"/>
      <c r="L212" s="13"/>
      <c r="M212" s="13"/>
      <c r="N212" s="13"/>
      <c r="O212" s="13"/>
      <c r="P212" s="13"/>
      <c r="Q212" s="13"/>
      <c r="R212" s="13"/>
      <c r="S212" s="13"/>
      <c r="T212" s="13"/>
    </row>
    <row r="213">
      <c r="K213" s="13"/>
      <c r="L213" s="13"/>
      <c r="M213" s="13"/>
      <c r="N213" s="13"/>
      <c r="O213" s="13"/>
      <c r="P213" s="13"/>
      <c r="Q213" s="13"/>
      <c r="R213" s="13"/>
      <c r="S213" s="13"/>
      <c r="T213" s="13"/>
    </row>
    <row r="214">
      <c r="K214" s="13"/>
      <c r="L214" s="13"/>
      <c r="M214" s="13"/>
      <c r="N214" s="13"/>
      <c r="O214" s="13"/>
      <c r="P214" s="13"/>
      <c r="Q214" s="13"/>
      <c r="R214" s="13"/>
      <c r="S214" s="13"/>
      <c r="T214" s="13"/>
    </row>
    <row r="215">
      <c r="K215" s="13"/>
      <c r="L215" s="13"/>
      <c r="M215" s="13"/>
      <c r="N215" s="13"/>
      <c r="O215" s="13"/>
      <c r="P215" s="13"/>
      <c r="Q215" s="13"/>
      <c r="R215" s="13"/>
      <c r="S215" s="13"/>
      <c r="T215" s="13"/>
    </row>
    <row r="216">
      <c r="K216" s="13"/>
      <c r="L216" s="13"/>
      <c r="M216" s="13"/>
      <c r="N216" s="13"/>
      <c r="O216" s="13"/>
      <c r="P216" s="13"/>
      <c r="Q216" s="13"/>
      <c r="R216" s="13"/>
      <c r="S216" s="13"/>
      <c r="T216" s="13"/>
    </row>
    <row r="217">
      <c r="K217" s="13"/>
      <c r="L217" s="13"/>
      <c r="M217" s="13"/>
      <c r="N217" s="13"/>
      <c r="O217" s="13"/>
      <c r="P217" s="13"/>
      <c r="Q217" s="13"/>
      <c r="R217" s="13"/>
      <c r="S217" s="13"/>
      <c r="T217" s="13"/>
    </row>
    <row r="218">
      <c r="K218" s="13"/>
      <c r="L218" s="13"/>
      <c r="M218" s="13"/>
      <c r="N218" s="13"/>
      <c r="O218" s="13"/>
      <c r="P218" s="13"/>
      <c r="Q218" s="13"/>
      <c r="R218" s="13"/>
      <c r="S218" s="13"/>
      <c r="T218" s="13"/>
    </row>
    <row r="219">
      <c r="K219" s="13"/>
      <c r="L219" s="13"/>
      <c r="M219" s="13"/>
      <c r="N219" s="13"/>
      <c r="O219" s="13"/>
      <c r="P219" s="13"/>
      <c r="Q219" s="13"/>
      <c r="R219" s="13"/>
      <c r="S219" s="13"/>
      <c r="T219" s="13"/>
    </row>
    <row r="220">
      <c r="K220" s="13"/>
      <c r="L220" s="13"/>
      <c r="M220" s="13"/>
      <c r="N220" s="13"/>
      <c r="O220" s="13"/>
      <c r="P220" s="13"/>
      <c r="Q220" s="13"/>
      <c r="R220" s="13"/>
      <c r="S220" s="13"/>
      <c r="T220" s="13"/>
    </row>
    <row r="221">
      <c r="K221" s="13"/>
      <c r="L221" s="13"/>
      <c r="M221" s="13"/>
      <c r="N221" s="13"/>
      <c r="O221" s="13"/>
      <c r="P221" s="13"/>
      <c r="Q221" s="13"/>
      <c r="R221" s="13"/>
      <c r="S221" s="13"/>
      <c r="T221" s="13"/>
    </row>
    <row r="222">
      <c r="K222" s="13"/>
      <c r="L222" s="13"/>
      <c r="M222" s="13"/>
      <c r="N222" s="13"/>
      <c r="O222" s="13"/>
      <c r="P222" s="13"/>
      <c r="Q222" s="13"/>
      <c r="R222" s="13"/>
      <c r="S222" s="13"/>
      <c r="T222" s="13"/>
    </row>
    <row r="223">
      <c r="K223" s="13"/>
      <c r="L223" s="13"/>
      <c r="M223" s="13"/>
      <c r="N223" s="13"/>
      <c r="O223" s="13"/>
      <c r="P223" s="13"/>
      <c r="Q223" s="13"/>
      <c r="R223" s="13"/>
      <c r="S223" s="13"/>
      <c r="T223" s="13"/>
    </row>
    <row r="224">
      <c r="K224" s="13"/>
      <c r="L224" s="13"/>
      <c r="M224" s="13"/>
      <c r="N224" s="13"/>
      <c r="O224" s="13"/>
      <c r="P224" s="13"/>
      <c r="Q224" s="13"/>
      <c r="R224" s="13"/>
      <c r="S224" s="13"/>
      <c r="T224" s="13"/>
    </row>
    <row r="225">
      <c r="K225" s="13"/>
      <c r="L225" s="13"/>
      <c r="M225" s="13"/>
      <c r="N225" s="13"/>
      <c r="O225" s="13"/>
      <c r="P225" s="13"/>
      <c r="Q225" s="13"/>
      <c r="R225" s="13"/>
      <c r="S225" s="13"/>
      <c r="T225" s="13"/>
    </row>
    <row r="226">
      <c r="K226" s="13"/>
      <c r="L226" s="13"/>
      <c r="M226" s="13"/>
      <c r="N226" s="13"/>
      <c r="O226" s="13"/>
      <c r="P226" s="13"/>
      <c r="Q226" s="13"/>
      <c r="R226" s="13"/>
      <c r="S226" s="13"/>
      <c r="T226" s="13"/>
    </row>
    <row r="227">
      <c r="K227" s="13"/>
      <c r="L227" s="13"/>
      <c r="M227" s="13"/>
      <c r="N227" s="13"/>
      <c r="O227" s="13"/>
      <c r="P227" s="13"/>
      <c r="Q227" s="13"/>
      <c r="R227" s="13"/>
      <c r="S227" s="13"/>
      <c r="T227" s="13"/>
    </row>
    <row r="228">
      <c r="K228" s="13"/>
      <c r="L228" s="13"/>
      <c r="M228" s="13"/>
      <c r="N228" s="13"/>
      <c r="O228" s="13"/>
      <c r="P228" s="13"/>
      <c r="Q228" s="13"/>
      <c r="R228" s="13"/>
      <c r="S228" s="13"/>
      <c r="T228" s="13"/>
    </row>
    <row r="229">
      <c r="K229" s="13"/>
      <c r="L229" s="13"/>
      <c r="M229" s="13"/>
      <c r="N229" s="13"/>
      <c r="O229" s="13"/>
      <c r="P229" s="13"/>
      <c r="Q229" s="13"/>
      <c r="R229" s="13"/>
      <c r="S229" s="13"/>
      <c r="T229" s="13"/>
    </row>
    <row r="230">
      <c r="K230" s="13"/>
      <c r="L230" s="13"/>
      <c r="M230" s="13"/>
      <c r="N230" s="13"/>
      <c r="O230" s="13"/>
      <c r="P230" s="13"/>
      <c r="Q230" s="13"/>
      <c r="R230" s="13"/>
      <c r="S230" s="13"/>
      <c r="T230" s="13"/>
    </row>
    <row r="231">
      <c r="K231" s="13"/>
      <c r="L231" s="13"/>
      <c r="M231" s="13"/>
      <c r="N231" s="13"/>
      <c r="O231" s="13"/>
      <c r="P231" s="13"/>
      <c r="Q231" s="13"/>
      <c r="R231" s="13"/>
      <c r="S231" s="13"/>
      <c r="T231" s="13"/>
    </row>
    <row r="232">
      <c r="K232" s="13"/>
      <c r="L232" s="13"/>
      <c r="M232" s="13"/>
      <c r="N232" s="13"/>
      <c r="O232" s="13"/>
      <c r="P232" s="13"/>
      <c r="Q232" s="13"/>
      <c r="R232" s="13"/>
      <c r="S232" s="13"/>
      <c r="T232" s="13"/>
    </row>
    <row r="233">
      <c r="K233" s="13"/>
      <c r="L233" s="13"/>
      <c r="M233" s="13"/>
      <c r="N233" s="13"/>
      <c r="O233" s="13"/>
      <c r="P233" s="13"/>
      <c r="Q233" s="13"/>
      <c r="R233" s="13"/>
      <c r="S233" s="13"/>
      <c r="T233" s="13"/>
    </row>
    <row r="234">
      <c r="K234" s="13"/>
      <c r="L234" s="13"/>
      <c r="M234" s="13"/>
      <c r="N234" s="13"/>
      <c r="O234" s="13"/>
      <c r="P234" s="13"/>
      <c r="Q234" s="13"/>
      <c r="R234" s="13"/>
      <c r="S234" s="13"/>
      <c r="T234" s="13"/>
    </row>
    <row r="235">
      <c r="K235" s="13"/>
      <c r="L235" s="13"/>
      <c r="M235" s="13"/>
      <c r="N235" s="13"/>
      <c r="O235" s="13"/>
      <c r="P235" s="13"/>
      <c r="Q235" s="13"/>
      <c r="R235" s="13"/>
      <c r="S235" s="13"/>
      <c r="T235" s="13"/>
    </row>
    <row r="236">
      <c r="K236" s="13"/>
      <c r="L236" s="13"/>
      <c r="M236" s="13"/>
      <c r="N236" s="13"/>
      <c r="O236" s="13"/>
      <c r="P236" s="13"/>
      <c r="Q236" s="13"/>
      <c r="R236" s="13"/>
      <c r="S236" s="13"/>
      <c r="T236" s="13"/>
    </row>
    <row r="237">
      <c r="K237" s="13"/>
      <c r="L237" s="13"/>
      <c r="M237" s="13"/>
      <c r="N237" s="13"/>
      <c r="O237" s="13"/>
      <c r="P237" s="13"/>
      <c r="Q237" s="13"/>
      <c r="R237" s="13"/>
      <c r="S237" s="13"/>
      <c r="T237" s="13"/>
    </row>
    <row r="238">
      <c r="K238" s="13"/>
      <c r="L238" s="13"/>
      <c r="M238" s="13"/>
      <c r="N238" s="13"/>
      <c r="O238" s="13"/>
      <c r="P238" s="13"/>
      <c r="Q238" s="13"/>
      <c r="R238" s="13"/>
      <c r="S238" s="13"/>
      <c r="T238" s="13"/>
    </row>
    <row r="239">
      <c r="K239" s="13"/>
      <c r="L239" s="13"/>
      <c r="M239" s="13"/>
      <c r="N239" s="13"/>
      <c r="O239" s="13"/>
      <c r="P239" s="13"/>
      <c r="Q239" s="13"/>
      <c r="R239" s="13"/>
      <c r="S239" s="13"/>
      <c r="T239" s="13"/>
    </row>
    <row r="240">
      <c r="K240" s="13"/>
      <c r="L240" s="13"/>
      <c r="M240" s="13"/>
      <c r="N240" s="13"/>
      <c r="O240" s="13"/>
      <c r="P240" s="13"/>
      <c r="Q240" s="13"/>
      <c r="R240" s="13"/>
      <c r="S240" s="13"/>
      <c r="T240" s="13"/>
    </row>
    <row r="241">
      <c r="K241" s="13"/>
      <c r="L241" s="13"/>
      <c r="M241" s="13"/>
      <c r="N241" s="13"/>
      <c r="O241" s="13"/>
      <c r="P241" s="13"/>
      <c r="Q241" s="13"/>
      <c r="R241" s="13"/>
      <c r="S241" s="13"/>
      <c r="T241" s="13"/>
    </row>
    <row r="242">
      <c r="K242" s="13"/>
      <c r="L242" s="13"/>
      <c r="M242" s="13"/>
      <c r="N242" s="13"/>
      <c r="O242" s="13"/>
      <c r="P242" s="13"/>
      <c r="Q242" s="13"/>
      <c r="R242" s="13"/>
      <c r="S242" s="13"/>
      <c r="T242" s="13"/>
    </row>
    <row r="243">
      <c r="K243" s="13"/>
      <c r="L243" s="13"/>
      <c r="M243" s="13"/>
      <c r="N243" s="13"/>
      <c r="O243" s="13"/>
      <c r="P243" s="13"/>
      <c r="Q243" s="13"/>
      <c r="R243" s="13"/>
      <c r="S243" s="13"/>
      <c r="T243" s="13"/>
    </row>
    <row r="244">
      <c r="K244" s="13"/>
      <c r="L244" s="13"/>
      <c r="M244" s="13"/>
      <c r="N244" s="13"/>
      <c r="O244" s="13"/>
      <c r="P244" s="13"/>
      <c r="Q244" s="13"/>
      <c r="R244" s="13"/>
      <c r="S244" s="13"/>
      <c r="T244" s="13"/>
    </row>
    <row r="245">
      <c r="K245" s="13"/>
      <c r="L245" s="13"/>
      <c r="M245" s="13"/>
      <c r="N245" s="13"/>
      <c r="O245" s="13"/>
      <c r="P245" s="13"/>
      <c r="Q245" s="13"/>
      <c r="R245" s="13"/>
      <c r="S245" s="13"/>
      <c r="T245" s="13"/>
    </row>
    <row r="246">
      <c r="K246" s="13"/>
      <c r="L246" s="13"/>
      <c r="M246" s="13"/>
      <c r="N246" s="13"/>
      <c r="O246" s="13"/>
      <c r="P246" s="13"/>
      <c r="Q246" s="13"/>
      <c r="R246" s="13"/>
      <c r="S246" s="13"/>
      <c r="T246" s="13"/>
    </row>
    <row r="247">
      <c r="K247" s="13"/>
      <c r="L247" s="13"/>
      <c r="M247" s="13"/>
      <c r="N247" s="13"/>
      <c r="O247" s="13"/>
      <c r="P247" s="13"/>
      <c r="Q247" s="13"/>
      <c r="R247" s="13"/>
      <c r="S247" s="13"/>
      <c r="T247" s="13"/>
    </row>
    <row r="248">
      <c r="K248" s="13"/>
      <c r="L248" s="13"/>
      <c r="M248" s="13"/>
      <c r="N248" s="13"/>
      <c r="O248" s="13"/>
      <c r="P248" s="13"/>
      <c r="Q248" s="13"/>
      <c r="R248" s="13"/>
      <c r="S248" s="13"/>
      <c r="T248" s="13"/>
    </row>
    <row r="249">
      <c r="K249" s="13"/>
      <c r="L249" s="13"/>
      <c r="M249" s="13"/>
      <c r="N249" s="13"/>
      <c r="O249" s="13"/>
      <c r="P249" s="13"/>
      <c r="Q249" s="13"/>
      <c r="R249" s="13"/>
      <c r="S249" s="13"/>
      <c r="T249" s="13"/>
    </row>
    <row r="250">
      <c r="K250" s="13"/>
      <c r="L250" s="13"/>
      <c r="M250" s="13"/>
      <c r="N250" s="13"/>
      <c r="O250" s="13"/>
      <c r="P250" s="13"/>
      <c r="Q250" s="13"/>
      <c r="R250" s="13"/>
      <c r="S250" s="13"/>
      <c r="T250" s="13"/>
    </row>
    <row r="251">
      <c r="K251" s="13"/>
      <c r="L251" s="13"/>
      <c r="M251" s="13"/>
      <c r="N251" s="13"/>
      <c r="O251" s="13"/>
      <c r="P251" s="13"/>
      <c r="Q251" s="13"/>
      <c r="R251" s="13"/>
      <c r="S251" s="13"/>
      <c r="T251" s="13"/>
    </row>
    <row r="252">
      <c r="K252" s="13"/>
      <c r="L252" s="13"/>
      <c r="M252" s="13"/>
      <c r="N252" s="13"/>
      <c r="O252" s="13"/>
      <c r="P252" s="13"/>
      <c r="Q252" s="13"/>
      <c r="R252" s="13"/>
      <c r="S252" s="13"/>
      <c r="T252" s="13"/>
    </row>
    <row r="253">
      <c r="K253" s="13"/>
      <c r="L253" s="13"/>
      <c r="M253" s="13"/>
      <c r="N253" s="13"/>
      <c r="O253" s="13"/>
      <c r="P253" s="13"/>
      <c r="Q253" s="13"/>
      <c r="R253" s="13"/>
      <c r="S253" s="13"/>
      <c r="T253" s="13"/>
    </row>
    <row r="254">
      <c r="K254" s="13"/>
      <c r="L254" s="13"/>
      <c r="M254" s="13"/>
      <c r="N254" s="13"/>
      <c r="O254" s="13"/>
      <c r="P254" s="13"/>
      <c r="Q254" s="13"/>
      <c r="R254" s="13"/>
      <c r="S254" s="13"/>
      <c r="T254" s="13"/>
    </row>
    <row r="255">
      <c r="K255" s="13"/>
      <c r="L255" s="13"/>
      <c r="M255" s="13"/>
      <c r="N255" s="13"/>
      <c r="O255" s="13"/>
      <c r="P255" s="13"/>
      <c r="Q255" s="13"/>
      <c r="R255" s="13"/>
      <c r="S255" s="13"/>
      <c r="T255" s="13"/>
    </row>
    <row r="256">
      <c r="K256" s="13"/>
      <c r="L256" s="13"/>
      <c r="M256" s="13"/>
      <c r="N256" s="13"/>
      <c r="O256" s="13"/>
      <c r="P256" s="13"/>
      <c r="Q256" s="13"/>
      <c r="R256" s="13"/>
      <c r="S256" s="13"/>
      <c r="T256" s="13"/>
    </row>
    <row r="257">
      <c r="K257" s="13"/>
      <c r="L257" s="13"/>
      <c r="M257" s="13"/>
      <c r="N257" s="13"/>
      <c r="O257" s="13"/>
      <c r="P257" s="13"/>
      <c r="Q257" s="13"/>
      <c r="R257" s="13"/>
      <c r="S257" s="13"/>
      <c r="T257" s="13"/>
    </row>
    <row r="258">
      <c r="K258" s="13"/>
      <c r="L258" s="13"/>
      <c r="M258" s="13"/>
      <c r="N258" s="13"/>
      <c r="O258" s="13"/>
      <c r="P258" s="13"/>
      <c r="Q258" s="13"/>
      <c r="R258" s="13"/>
      <c r="S258" s="13"/>
      <c r="T258" s="13"/>
    </row>
    <row r="259">
      <c r="K259" s="13"/>
      <c r="L259" s="13"/>
      <c r="M259" s="13"/>
      <c r="N259" s="13"/>
      <c r="O259" s="13"/>
      <c r="P259" s="13"/>
      <c r="Q259" s="13"/>
      <c r="R259" s="13"/>
      <c r="S259" s="13"/>
      <c r="T259" s="13"/>
    </row>
    <row r="260">
      <c r="K260" s="13"/>
      <c r="L260" s="13"/>
      <c r="M260" s="13"/>
      <c r="N260" s="13"/>
      <c r="O260" s="13"/>
      <c r="P260" s="13"/>
      <c r="Q260" s="13"/>
      <c r="R260" s="13"/>
      <c r="S260" s="13"/>
      <c r="T260" s="13"/>
    </row>
    <row r="261">
      <c r="K261" s="13"/>
      <c r="L261" s="13"/>
      <c r="M261" s="13"/>
      <c r="N261" s="13"/>
      <c r="O261" s="13"/>
      <c r="P261" s="13"/>
      <c r="Q261" s="13"/>
      <c r="R261" s="13"/>
      <c r="S261" s="13"/>
      <c r="T261" s="13"/>
    </row>
    <row r="262">
      <c r="K262" s="13"/>
      <c r="L262" s="13"/>
      <c r="M262" s="13"/>
      <c r="N262" s="13"/>
      <c r="O262" s="13"/>
      <c r="P262" s="13"/>
      <c r="Q262" s="13"/>
      <c r="R262" s="13"/>
      <c r="S262" s="13"/>
      <c r="T262" s="13"/>
    </row>
    <row r="263">
      <c r="K263" s="13"/>
      <c r="L263" s="13"/>
      <c r="M263" s="13"/>
      <c r="N263" s="13"/>
      <c r="O263" s="13"/>
      <c r="P263" s="13"/>
      <c r="Q263" s="13"/>
      <c r="R263" s="13"/>
      <c r="S263" s="13"/>
      <c r="T263" s="13"/>
    </row>
    <row r="264">
      <c r="K264" s="13"/>
      <c r="L264" s="13"/>
      <c r="M264" s="13"/>
      <c r="N264" s="13"/>
      <c r="O264" s="13"/>
      <c r="P264" s="13"/>
      <c r="Q264" s="13"/>
      <c r="R264" s="13"/>
      <c r="S264" s="13"/>
      <c r="T264" s="13"/>
    </row>
    <row r="265">
      <c r="K265" s="13"/>
      <c r="L265" s="13"/>
      <c r="M265" s="13"/>
      <c r="N265" s="13"/>
      <c r="O265" s="13"/>
      <c r="P265" s="13"/>
      <c r="Q265" s="13"/>
      <c r="R265" s="13"/>
      <c r="S265" s="13"/>
      <c r="T265" s="13"/>
    </row>
    <row r="266">
      <c r="K266" s="13"/>
      <c r="L266" s="13"/>
      <c r="M266" s="13"/>
      <c r="N266" s="13"/>
      <c r="O266" s="13"/>
      <c r="P266" s="13"/>
      <c r="Q266" s="13"/>
      <c r="R266" s="13"/>
      <c r="S266" s="13"/>
      <c r="T266" s="13"/>
    </row>
    <row r="267">
      <c r="K267" s="13"/>
      <c r="L267" s="13"/>
      <c r="M267" s="13"/>
      <c r="N267" s="13"/>
      <c r="O267" s="13"/>
      <c r="P267" s="13"/>
      <c r="Q267" s="13"/>
      <c r="R267" s="13"/>
      <c r="S267" s="13"/>
      <c r="T267" s="13"/>
    </row>
    <row r="268">
      <c r="K268" s="13"/>
      <c r="L268" s="13"/>
      <c r="M268" s="13"/>
      <c r="N268" s="13"/>
      <c r="O268" s="13"/>
      <c r="P268" s="13"/>
      <c r="Q268" s="13"/>
      <c r="R268" s="13"/>
      <c r="S268" s="13"/>
      <c r="T268" s="13"/>
    </row>
    <row r="269">
      <c r="K269" s="13"/>
      <c r="L269" s="13"/>
      <c r="M269" s="13"/>
      <c r="N269" s="13"/>
      <c r="O269" s="13"/>
      <c r="P269" s="13"/>
      <c r="Q269" s="13"/>
      <c r="R269" s="13"/>
      <c r="S269" s="13"/>
      <c r="T269" s="13"/>
    </row>
    <row r="270">
      <c r="K270" s="13"/>
      <c r="L270" s="13"/>
      <c r="M270" s="13"/>
      <c r="N270" s="13"/>
      <c r="O270" s="13"/>
      <c r="P270" s="13"/>
      <c r="Q270" s="13"/>
      <c r="R270" s="13"/>
      <c r="S270" s="13"/>
      <c r="T270" s="13"/>
    </row>
    <row r="271">
      <c r="K271" s="13"/>
      <c r="L271" s="13"/>
      <c r="M271" s="13"/>
      <c r="N271" s="13"/>
      <c r="O271" s="13"/>
      <c r="P271" s="13"/>
      <c r="Q271" s="13"/>
      <c r="R271" s="13"/>
      <c r="S271" s="13"/>
      <c r="T271" s="13"/>
    </row>
    <row r="272">
      <c r="K272" s="13"/>
      <c r="L272" s="13"/>
      <c r="M272" s="13"/>
      <c r="N272" s="13"/>
      <c r="O272" s="13"/>
      <c r="P272" s="13"/>
      <c r="Q272" s="13"/>
      <c r="R272" s="13"/>
      <c r="S272" s="13"/>
      <c r="T272" s="13"/>
    </row>
    <row r="273">
      <c r="K273" s="13"/>
      <c r="L273" s="13"/>
      <c r="M273" s="13"/>
      <c r="N273" s="13"/>
      <c r="O273" s="13"/>
      <c r="P273" s="13"/>
      <c r="Q273" s="13"/>
      <c r="R273" s="13"/>
      <c r="S273" s="13"/>
      <c r="T273" s="13"/>
    </row>
    <row r="274">
      <c r="K274" s="13"/>
      <c r="L274" s="13"/>
      <c r="M274" s="13"/>
      <c r="N274" s="13"/>
      <c r="O274" s="13"/>
      <c r="P274" s="13"/>
      <c r="Q274" s="13"/>
      <c r="R274" s="13"/>
      <c r="S274" s="13"/>
      <c r="T274" s="13"/>
    </row>
    <row r="275">
      <c r="K275" s="13"/>
      <c r="L275" s="13"/>
      <c r="M275" s="13"/>
      <c r="N275" s="13"/>
      <c r="O275" s="13"/>
      <c r="P275" s="13"/>
      <c r="Q275" s="13"/>
      <c r="R275" s="13"/>
      <c r="S275" s="13"/>
      <c r="T275" s="13"/>
    </row>
    <row r="276">
      <c r="K276" s="13"/>
      <c r="L276" s="13"/>
      <c r="M276" s="13"/>
      <c r="N276" s="13"/>
      <c r="O276" s="13"/>
      <c r="P276" s="13"/>
      <c r="Q276" s="13"/>
      <c r="R276" s="13"/>
      <c r="S276" s="13"/>
      <c r="T276" s="13"/>
    </row>
    <row r="277">
      <c r="K277" s="13"/>
      <c r="L277" s="13"/>
      <c r="M277" s="13"/>
      <c r="N277" s="13"/>
      <c r="O277" s="13"/>
      <c r="P277" s="13"/>
      <c r="Q277" s="13"/>
      <c r="R277" s="13"/>
      <c r="S277" s="13"/>
      <c r="T277" s="13"/>
    </row>
    <row r="278">
      <c r="K278" s="13"/>
      <c r="L278" s="13"/>
      <c r="M278" s="13"/>
      <c r="N278" s="13"/>
      <c r="O278" s="13"/>
      <c r="P278" s="13"/>
      <c r="Q278" s="13"/>
      <c r="R278" s="13"/>
      <c r="S278" s="13"/>
      <c r="T278" s="13"/>
    </row>
    <row r="279">
      <c r="K279" s="13"/>
      <c r="L279" s="13"/>
      <c r="M279" s="13"/>
      <c r="N279" s="13"/>
      <c r="O279" s="13"/>
      <c r="P279" s="13"/>
      <c r="Q279" s="13"/>
      <c r="R279" s="13"/>
      <c r="S279" s="13"/>
      <c r="T279" s="13"/>
    </row>
    <row r="280">
      <c r="K280" s="13"/>
      <c r="L280" s="13"/>
      <c r="M280" s="13"/>
      <c r="N280" s="13"/>
      <c r="O280" s="13"/>
      <c r="P280" s="13"/>
      <c r="Q280" s="13"/>
      <c r="R280" s="13"/>
      <c r="S280" s="13"/>
      <c r="T280" s="13"/>
    </row>
    <row r="281">
      <c r="K281" s="13"/>
      <c r="L281" s="13"/>
      <c r="M281" s="13"/>
      <c r="N281" s="13"/>
      <c r="O281" s="13"/>
      <c r="P281" s="13"/>
      <c r="Q281" s="13"/>
      <c r="R281" s="13"/>
      <c r="S281" s="13"/>
      <c r="T281" s="13"/>
    </row>
    <row r="282">
      <c r="K282" s="13"/>
      <c r="L282" s="13"/>
      <c r="M282" s="13"/>
      <c r="N282" s="13"/>
      <c r="O282" s="13"/>
      <c r="P282" s="13"/>
      <c r="Q282" s="13"/>
      <c r="R282" s="13"/>
      <c r="S282" s="13"/>
      <c r="T282" s="13"/>
    </row>
    <row r="283">
      <c r="K283" s="13"/>
      <c r="L283" s="13"/>
      <c r="M283" s="13"/>
      <c r="N283" s="13"/>
      <c r="O283" s="13"/>
      <c r="P283" s="13"/>
      <c r="Q283" s="13"/>
      <c r="R283" s="13"/>
      <c r="S283" s="13"/>
      <c r="T283" s="13"/>
    </row>
    <row r="284">
      <c r="K284" s="13"/>
      <c r="L284" s="13"/>
      <c r="M284" s="13"/>
      <c r="N284" s="13"/>
      <c r="O284" s="13"/>
      <c r="P284" s="13"/>
      <c r="Q284" s="13"/>
      <c r="R284" s="13"/>
      <c r="S284" s="13"/>
      <c r="T284" s="13"/>
    </row>
    <row r="285">
      <c r="K285" s="13"/>
      <c r="L285" s="13"/>
      <c r="M285" s="13"/>
      <c r="N285" s="13"/>
      <c r="O285" s="13"/>
      <c r="P285" s="13"/>
      <c r="Q285" s="13"/>
      <c r="R285" s="13"/>
      <c r="S285" s="13"/>
      <c r="T285" s="13"/>
    </row>
    <row r="286">
      <c r="K286" s="13"/>
      <c r="L286" s="13"/>
      <c r="M286" s="13"/>
      <c r="N286" s="13"/>
      <c r="O286" s="13"/>
      <c r="P286" s="13"/>
      <c r="Q286" s="13"/>
      <c r="R286" s="13"/>
      <c r="S286" s="13"/>
      <c r="T286" s="13"/>
    </row>
    <row r="287">
      <c r="K287" s="13"/>
      <c r="L287" s="13"/>
      <c r="M287" s="13"/>
      <c r="N287" s="13"/>
      <c r="O287" s="13"/>
      <c r="P287" s="13"/>
      <c r="Q287" s="13"/>
      <c r="R287" s="13"/>
      <c r="S287" s="13"/>
      <c r="T287" s="13"/>
    </row>
    <row r="288">
      <c r="K288" s="13"/>
      <c r="L288" s="13"/>
      <c r="M288" s="13"/>
      <c r="N288" s="13"/>
      <c r="O288" s="13"/>
      <c r="P288" s="13"/>
      <c r="Q288" s="13"/>
      <c r="R288" s="13"/>
      <c r="S288" s="13"/>
      <c r="T288" s="13"/>
    </row>
    <row r="289">
      <c r="K289" s="13"/>
      <c r="L289" s="13"/>
      <c r="M289" s="13"/>
      <c r="N289" s="13"/>
      <c r="O289" s="13"/>
      <c r="P289" s="13"/>
      <c r="Q289" s="13"/>
      <c r="R289" s="13"/>
      <c r="S289" s="13"/>
      <c r="T289" s="13"/>
    </row>
    <row r="290">
      <c r="K290" s="13"/>
      <c r="L290" s="13"/>
      <c r="M290" s="13"/>
      <c r="N290" s="13"/>
      <c r="O290" s="13"/>
      <c r="P290" s="13"/>
      <c r="Q290" s="13"/>
      <c r="R290" s="13"/>
      <c r="S290" s="13"/>
      <c r="T290" s="13"/>
    </row>
    <row r="291">
      <c r="K291" s="13"/>
      <c r="L291" s="13"/>
      <c r="M291" s="13"/>
      <c r="N291" s="13"/>
      <c r="O291" s="13"/>
      <c r="P291" s="13"/>
      <c r="Q291" s="13"/>
      <c r="R291" s="13"/>
      <c r="S291" s="13"/>
      <c r="T291" s="13"/>
    </row>
    <row r="292">
      <c r="K292" s="13"/>
      <c r="L292" s="13"/>
      <c r="M292" s="13"/>
      <c r="N292" s="13"/>
      <c r="O292" s="13"/>
      <c r="P292" s="13"/>
      <c r="Q292" s="13"/>
      <c r="R292" s="13"/>
      <c r="S292" s="13"/>
      <c r="T292" s="13"/>
    </row>
    <row r="293">
      <c r="K293" s="13"/>
      <c r="L293" s="13"/>
      <c r="M293" s="13"/>
      <c r="N293" s="13"/>
      <c r="O293" s="13"/>
      <c r="P293" s="13"/>
      <c r="Q293" s="13"/>
      <c r="R293" s="13"/>
      <c r="S293" s="13"/>
      <c r="T293" s="13"/>
    </row>
    <row r="294">
      <c r="K294" s="13"/>
      <c r="L294" s="13"/>
      <c r="M294" s="13"/>
      <c r="N294" s="13"/>
      <c r="O294" s="13"/>
      <c r="P294" s="13"/>
      <c r="Q294" s="13"/>
      <c r="R294" s="13"/>
      <c r="S294" s="13"/>
      <c r="T294" s="13"/>
    </row>
    <row r="295">
      <c r="K295" s="13"/>
      <c r="L295" s="13"/>
      <c r="M295" s="13"/>
      <c r="N295" s="13"/>
      <c r="O295" s="13"/>
      <c r="P295" s="13"/>
      <c r="Q295" s="13"/>
      <c r="R295" s="13"/>
      <c r="S295" s="13"/>
      <c r="T295" s="13"/>
    </row>
    <row r="296">
      <c r="K296" s="13"/>
      <c r="L296" s="13"/>
      <c r="M296" s="13"/>
      <c r="N296" s="13"/>
      <c r="O296" s="13"/>
      <c r="P296" s="13"/>
      <c r="Q296" s="13"/>
      <c r="R296" s="13"/>
      <c r="S296" s="13"/>
      <c r="T296" s="13"/>
    </row>
    <row r="297">
      <c r="K297" s="13"/>
      <c r="L297" s="13"/>
      <c r="M297" s="13"/>
      <c r="N297" s="13"/>
      <c r="O297" s="13"/>
      <c r="P297" s="13"/>
      <c r="Q297" s="13"/>
      <c r="R297" s="13"/>
      <c r="S297" s="13"/>
      <c r="T297" s="13"/>
    </row>
    <row r="298">
      <c r="K298" s="13"/>
      <c r="L298" s="13"/>
      <c r="M298" s="13"/>
      <c r="N298" s="13"/>
      <c r="O298" s="13"/>
      <c r="P298" s="13"/>
      <c r="Q298" s="13"/>
      <c r="R298" s="13"/>
      <c r="S298" s="13"/>
      <c r="T298" s="13"/>
    </row>
    <row r="299">
      <c r="K299" s="13"/>
      <c r="L299" s="13"/>
      <c r="M299" s="13"/>
      <c r="N299" s="13"/>
      <c r="O299" s="13"/>
      <c r="P299" s="13"/>
      <c r="Q299" s="13"/>
      <c r="R299" s="13"/>
      <c r="S299" s="13"/>
      <c r="T299" s="13"/>
    </row>
    <row r="300">
      <c r="K300" s="13"/>
      <c r="L300" s="13"/>
      <c r="M300" s="13"/>
      <c r="N300" s="13"/>
      <c r="O300" s="13"/>
      <c r="P300" s="13"/>
      <c r="Q300" s="13"/>
      <c r="R300" s="13"/>
      <c r="S300" s="13"/>
      <c r="T300" s="13"/>
    </row>
    <row r="301">
      <c r="K301" s="13"/>
      <c r="L301" s="13"/>
      <c r="M301" s="13"/>
      <c r="N301" s="13"/>
      <c r="O301" s="13"/>
      <c r="P301" s="13"/>
      <c r="Q301" s="13"/>
      <c r="R301" s="13"/>
      <c r="S301" s="13"/>
      <c r="T301" s="13"/>
    </row>
    <row r="302">
      <c r="K302" s="13"/>
      <c r="L302" s="13"/>
      <c r="M302" s="13"/>
      <c r="N302" s="13"/>
      <c r="O302" s="13"/>
      <c r="P302" s="13"/>
      <c r="Q302" s="13"/>
      <c r="R302" s="13"/>
      <c r="S302" s="13"/>
      <c r="T302" s="13"/>
    </row>
    <row r="303">
      <c r="K303" s="13"/>
      <c r="L303" s="13"/>
      <c r="M303" s="13"/>
      <c r="N303" s="13"/>
      <c r="O303" s="13"/>
      <c r="P303" s="13"/>
      <c r="Q303" s="13"/>
      <c r="R303" s="13"/>
      <c r="S303" s="13"/>
      <c r="T303" s="13"/>
    </row>
    <row r="304">
      <c r="K304" s="13"/>
      <c r="L304" s="13"/>
      <c r="M304" s="13"/>
      <c r="N304" s="13"/>
      <c r="O304" s="13"/>
      <c r="P304" s="13"/>
      <c r="Q304" s="13"/>
      <c r="R304" s="13"/>
      <c r="S304" s="13"/>
      <c r="T304" s="13"/>
    </row>
    <row r="305">
      <c r="K305" s="13"/>
      <c r="L305" s="13"/>
      <c r="M305" s="13"/>
      <c r="N305" s="13"/>
      <c r="O305" s="13"/>
      <c r="P305" s="13"/>
      <c r="Q305" s="13"/>
      <c r="R305" s="13"/>
      <c r="S305" s="13"/>
      <c r="T305" s="13"/>
    </row>
    <row r="306">
      <c r="K306" s="13"/>
      <c r="L306" s="13"/>
      <c r="M306" s="13"/>
      <c r="N306" s="13"/>
      <c r="O306" s="13"/>
      <c r="P306" s="13"/>
      <c r="Q306" s="13"/>
      <c r="R306" s="13"/>
      <c r="S306" s="13"/>
      <c r="T306" s="13"/>
    </row>
    <row r="307">
      <c r="K307" s="13"/>
      <c r="L307" s="13"/>
      <c r="M307" s="13"/>
      <c r="N307" s="13"/>
      <c r="O307" s="13"/>
      <c r="P307" s="13"/>
      <c r="Q307" s="13"/>
      <c r="R307" s="13"/>
      <c r="S307" s="13"/>
      <c r="T307" s="13"/>
    </row>
    <row r="308">
      <c r="K308" s="13"/>
      <c r="L308" s="13"/>
      <c r="M308" s="13"/>
      <c r="N308" s="13"/>
      <c r="O308" s="13"/>
      <c r="P308" s="13"/>
      <c r="Q308" s="13"/>
      <c r="R308" s="13"/>
      <c r="S308" s="13"/>
      <c r="T308" s="13"/>
    </row>
    <row r="309">
      <c r="K309" s="13"/>
      <c r="L309" s="13"/>
      <c r="M309" s="13"/>
      <c r="N309" s="13"/>
      <c r="O309" s="13"/>
      <c r="P309" s="13"/>
      <c r="Q309" s="13"/>
      <c r="R309" s="13"/>
      <c r="S309" s="13"/>
      <c r="T309" s="13"/>
    </row>
    <row r="310">
      <c r="K310" s="13"/>
      <c r="L310" s="13"/>
      <c r="M310" s="13"/>
      <c r="N310" s="13"/>
      <c r="O310" s="13"/>
      <c r="P310" s="13"/>
      <c r="Q310" s="13"/>
      <c r="R310" s="13"/>
      <c r="S310" s="13"/>
      <c r="T310" s="13"/>
    </row>
    <row r="311">
      <c r="K311" s="13"/>
      <c r="L311" s="13"/>
      <c r="M311" s="13"/>
      <c r="N311" s="13"/>
      <c r="O311" s="13"/>
      <c r="P311" s="13"/>
      <c r="Q311" s="13"/>
      <c r="R311" s="13"/>
      <c r="S311" s="13"/>
      <c r="T311" s="13"/>
    </row>
    <row r="312">
      <c r="K312" s="13"/>
      <c r="L312" s="13"/>
      <c r="M312" s="13"/>
      <c r="N312" s="13"/>
      <c r="O312" s="13"/>
      <c r="P312" s="13"/>
      <c r="Q312" s="13"/>
      <c r="R312" s="13"/>
      <c r="S312" s="13"/>
      <c r="T312" s="13"/>
    </row>
    <row r="313">
      <c r="K313" s="13"/>
      <c r="L313" s="13"/>
      <c r="M313" s="13"/>
      <c r="N313" s="13"/>
      <c r="O313" s="13"/>
      <c r="P313" s="13"/>
      <c r="Q313" s="13"/>
      <c r="R313" s="13"/>
      <c r="S313" s="13"/>
      <c r="T313" s="13"/>
    </row>
    <row r="314">
      <c r="K314" s="13"/>
      <c r="L314" s="13"/>
      <c r="M314" s="13"/>
      <c r="N314" s="13"/>
      <c r="O314" s="13"/>
      <c r="P314" s="13"/>
      <c r="Q314" s="13"/>
      <c r="R314" s="13"/>
      <c r="S314" s="13"/>
      <c r="T314" s="13"/>
    </row>
    <row r="315">
      <c r="K315" s="13"/>
      <c r="L315" s="13"/>
      <c r="M315" s="13"/>
      <c r="N315" s="13"/>
      <c r="O315" s="13"/>
      <c r="P315" s="13"/>
      <c r="Q315" s="13"/>
      <c r="R315" s="13"/>
      <c r="S315" s="13"/>
      <c r="T315" s="13"/>
    </row>
    <row r="316">
      <c r="K316" s="13"/>
      <c r="L316" s="13"/>
      <c r="M316" s="13"/>
      <c r="N316" s="13"/>
      <c r="O316" s="13"/>
      <c r="P316" s="13"/>
      <c r="Q316" s="13"/>
      <c r="R316" s="13"/>
      <c r="S316" s="13"/>
      <c r="T316" s="13"/>
    </row>
    <row r="317">
      <c r="K317" s="13"/>
      <c r="L317" s="13"/>
      <c r="M317" s="13"/>
      <c r="N317" s="13"/>
      <c r="O317" s="13"/>
      <c r="P317" s="13"/>
      <c r="Q317" s="13"/>
      <c r="R317" s="13"/>
      <c r="S317" s="13"/>
      <c r="T317" s="13"/>
    </row>
    <row r="318">
      <c r="K318" s="13"/>
      <c r="L318" s="13"/>
      <c r="M318" s="13"/>
      <c r="N318" s="13"/>
      <c r="O318" s="13"/>
      <c r="P318" s="13"/>
      <c r="Q318" s="13"/>
      <c r="R318" s="13"/>
      <c r="S318" s="13"/>
      <c r="T318" s="13"/>
    </row>
    <row r="319">
      <c r="K319" s="13"/>
      <c r="L319" s="13"/>
      <c r="M319" s="13"/>
      <c r="N319" s="13"/>
      <c r="O319" s="13"/>
      <c r="P319" s="13"/>
      <c r="Q319" s="13"/>
      <c r="R319" s="13"/>
      <c r="S319" s="13"/>
      <c r="T319" s="13"/>
    </row>
    <row r="320">
      <c r="K320" s="13"/>
      <c r="L320" s="13"/>
      <c r="M320" s="13"/>
      <c r="N320" s="13"/>
      <c r="O320" s="13"/>
      <c r="P320" s="13"/>
      <c r="Q320" s="13"/>
      <c r="R320" s="13"/>
      <c r="S320" s="13"/>
      <c r="T320" s="13"/>
    </row>
    <row r="321">
      <c r="K321" s="13"/>
      <c r="L321" s="13"/>
      <c r="M321" s="13"/>
      <c r="N321" s="13"/>
      <c r="O321" s="13"/>
      <c r="P321" s="13"/>
      <c r="Q321" s="13"/>
      <c r="R321" s="13"/>
      <c r="S321" s="13"/>
      <c r="T321" s="13"/>
    </row>
    <row r="322">
      <c r="K322" s="13"/>
      <c r="L322" s="13"/>
      <c r="M322" s="13"/>
      <c r="N322" s="13"/>
      <c r="O322" s="13"/>
      <c r="P322" s="13"/>
      <c r="Q322" s="13"/>
      <c r="R322" s="13"/>
      <c r="S322" s="13"/>
      <c r="T322" s="13"/>
    </row>
    <row r="323">
      <c r="K323" s="13"/>
      <c r="L323" s="13"/>
      <c r="M323" s="13"/>
      <c r="N323" s="13"/>
      <c r="O323" s="13"/>
      <c r="P323" s="13"/>
      <c r="Q323" s="13"/>
      <c r="R323" s="13"/>
      <c r="S323" s="13"/>
      <c r="T323" s="13"/>
    </row>
    <row r="324">
      <c r="K324" s="13"/>
      <c r="L324" s="13"/>
      <c r="M324" s="13"/>
      <c r="N324" s="13"/>
      <c r="O324" s="13"/>
      <c r="P324" s="13"/>
      <c r="Q324" s="13"/>
      <c r="R324" s="13"/>
      <c r="S324" s="13"/>
      <c r="T324" s="13"/>
    </row>
    <row r="325">
      <c r="K325" s="13"/>
      <c r="L325" s="13"/>
      <c r="M325" s="13"/>
      <c r="N325" s="13"/>
      <c r="O325" s="13"/>
      <c r="P325" s="13"/>
      <c r="Q325" s="13"/>
      <c r="R325" s="13"/>
      <c r="S325" s="13"/>
      <c r="T325" s="13"/>
    </row>
    <row r="326">
      <c r="K326" s="13"/>
      <c r="L326" s="13"/>
      <c r="M326" s="13"/>
      <c r="N326" s="13"/>
      <c r="O326" s="13"/>
      <c r="P326" s="13"/>
      <c r="Q326" s="13"/>
      <c r="R326" s="13"/>
      <c r="S326" s="13"/>
      <c r="T326" s="13"/>
    </row>
    <row r="327">
      <c r="K327" s="13"/>
      <c r="L327" s="13"/>
      <c r="M327" s="13"/>
      <c r="N327" s="13"/>
      <c r="O327" s="13"/>
      <c r="P327" s="13"/>
      <c r="Q327" s="13"/>
      <c r="R327" s="13"/>
      <c r="S327" s="13"/>
      <c r="T327" s="13"/>
    </row>
    <row r="328">
      <c r="K328" s="13"/>
      <c r="L328" s="13"/>
      <c r="M328" s="13"/>
      <c r="N328" s="13"/>
      <c r="O328" s="13"/>
      <c r="P328" s="13"/>
      <c r="Q328" s="13"/>
      <c r="R328" s="13"/>
      <c r="S328" s="13"/>
      <c r="T328" s="13"/>
    </row>
    <row r="329">
      <c r="K329" s="13"/>
      <c r="L329" s="13"/>
      <c r="M329" s="13"/>
      <c r="N329" s="13"/>
      <c r="O329" s="13"/>
      <c r="P329" s="13"/>
      <c r="Q329" s="13"/>
      <c r="R329" s="13"/>
      <c r="S329" s="13"/>
      <c r="T329" s="13"/>
    </row>
    <row r="330">
      <c r="K330" s="13"/>
      <c r="L330" s="13"/>
      <c r="M330" s="13"/>
      <c r="N330" s="13"/>
      <c r="O330" s="13"/>
      <c r="P330" s="13"/>
      <c r="Q330" s="13"/>
      <c r="R330" s="13"/>
      <c r="S330" s="13"/>
      <c r="T330" s="13"/>
    </row>
    <row r="331">
      <c r="K331" s="13"/>
      <c r="L331" s="13"/>
      <c r="M331" s="13"/>
      <c r="N331" s="13"/>
      <c r="O331" s="13"/>
      <c r="P331" s="13"/>
      <c r="Q331" s="13"/>
      <c r="R331" s="13"/>
      <c r="S331" s="13"/>
      <c r="T331" s="13"/>
    </row>
    <row r="332">
      <c r="K332" s="13"/>
      <c r="L332" s="13"/>
      <c r="M332" s="13"/>
      <c r="N332" s="13"/>
      <c r="O332" s="13"/>
      <c r="P332" s="13"/>
      <c r="Q332" s="13"/>
      <c r="R332" s="13"/>
      <c r="S332" s="13"/>
      <c r="T332" s="13"/>
    </row>
    <row r="333">
      <c r="K333" s="13"/>
      <c r="L333" s="13"/>
      <c r="M333" s="13"/>
      <c r="N333" s="13"/>
      <c r="O333" s="13"/>
      <c r="P333" s="13"/>
      <c r="Q333" s="13"/>
      <c r="R333" s="13"/>
      <c r="S333" s="13"/>
      <c r="T333" s="13"/>
    </row>
    <row r="334">
      <c r="K334" s="13"/>
      <c r="L334" s="13"/>
      <c r="M334" s="13"/>
      <c r="N334" s="13"/>
      <c r="O334" s="13"/>
      <c r="P334" s="13"/>
      <c r="Q334" s="13"/>
      <c r="R334" s="13"/>
      <c r="S334" s="13"/>
      <c r="T334" s="13"/>
    </row>
    <row r="335">
      <c r="K335" s="13"/>
      <c r="L335" s="13"/>
      <c r="M335" s="13"/>
      <c r="N335" s="13"/>
      <c r="O335" s="13"/>
      <c r="P335" s="13"/>
      <c r="Q335" s="13"/>
      <c r="R335" s="13"/>
      <c r="S335" s="13"/>
      <c r="T335" s="13"/>
    </row>
    <row r="336">
      <c r="K336" s="13"/>
      <c r="L336" s="13"/>
      <c r="M336" s="13"/>
      <c r="N336" s="13"/>
      <c r="O336" s="13"/>
      <c r="P336" s="13"/>
      <c r="Q336" s="13"/>
      <c r="R336" s="13"/>
      <c r="S336" s="13"/>
      <c r="T336" s="13"/>
    </row>
    <row r="337">
      <c r="K337" s="13"/>
      <c r="L337" s="13"/>
      <c r="M337" s="13"/>
      <c r="N337" s="13"/>
      <c r="O337" s="13"/>
      <c r="P337" s="13"/>
      <c r="Q337" s="13"/>
      <c r="R337" s="13"/>
      <c r="S337" s="13"/>
      <c r="T337" s="13"/>
    </row>
    <row r="338">
      <c r="K338" s="13"/>
      <c r="L338" s="13"/>
      <c r="M338" s="13"/>
      <c r="N338" s="13"/>
      <c r="O338" s="13"/>
      <c r="P338" s="13"/>
      <c r="Q338" s="13"/>
      <c r="R338" s="13"/>
      <c r="S338" s="13"/>
      <c r="T338" s="13"/>
    </row>
    <row r="339">
      <c r="K339" s="13"/>
      <c r="L339" s="13"/>
      <c r="M339" s="13"/>
      <c r="N339" s="13"/>
      <c r="O339" s="13"/>
      <c r="P339" s="13"/>
      <c r="Q339" s="13"/>
      <c r="R339" s="13"/>
      <c r="S339" s="13"/>
      <c r="T339" s="13"/>
    </row>
    <row r="340">
      <c r="K340" s="13"/>
      <c r="L340" s="13"/>
      <c r="M340" s="13"/>
      <c r="N340" s="13"/>
      <c r="O340" s="13"/>
      <c r="P340" s="13"/>
      <c r="Q340" s="13"/>
      <c r="R340" s="13"/>
      <c r="S340" s="13"/>
      <c r="T340" s="13"/>
    </row>
    <row r="341">
      <c r="K341" s="13"/>
      <c r="L341" s="13"/>
      <c r="M341" s="13"/>
      <c r="N341" s="13"/>
      <c r="O341" s="13"/>
      <c r="P341" s="13"/>
      <c r="Q341" s="13"/>
      <c r="R341" s="13"/>
      <c r="S341" s="13"/>
      <c r="T341" s="13"/>
    </row>
    <row r="342">
      <c r="K342" s="13"/>
      <c r="L342" s="13"/>
      <c r="M342" s="13"/>
      <c r="N342" s="13"/>
      <c r="O342" s="13"/>
      <c r="P342" s="13"/>
      <c r="Q342" s="13"/>
      <c r="R342" s="13"/>
      <c r="S342" s="13"/>
      <c r="T342" s="13"/>
    </row>
    <row r="343">
      <c r="K343" s="13"/>
      <c r="L343" s="13"/>
      <c r="M343" s="13"/>
      <c r="N343" s="13"/>
      <c r="O343" s="13"/>
      <c r="P343" s="13"/>
      <c r="Q343" s="13"/>
      <c r="R343" s="13"/>
      <c r="S343" s="13"/>
      <c r="T343" s="13"/>
    </row>
    <row r="344">
      <c r="K344" s="13"/>
      <c r="L344" s="13"/>
      <c r="M344" s="13"/>
      <c r="N344" s="13"/>
      <c r="O344" s="13"/>
      <c r="P344" s="13"/>
      <c r="Q344" s="13"/>
      <c r="R344" s="13"/>
      <c r="S344" s="13"/>
      <c r="T344" s="13"/>
    </row>
    <row r="345">
      <c r="K345" s="13"/>
      <c r="L345" s="13"/>
      <c r="M345" s="13"/>
      <c r="N345" s="13"/>
      <c r="O345" s="13"/>
      <c r="P345" s="13"/>
      <c r="Q345" s="13"/>
      <c r="R345" s="13"/>
      <c r="S345" s="13"/>
      <c r="T345" s="13"/>
    </row>
    <row r="346">
      <c r="K346" s="13"/>
      <c r="L346" s="13"/>
      <c r="M346" s="13"/>
      <c r="N346" s="13"/>
      <c r="O346" s="13"/>
      <c r="P346" s="13"/>
      <c r="Q346" s="13"/>
      <c r="R346" s="13"/>
      <c r="S346" s="13"/>
      <c r="T346" s="13"/>
    </row>
    <row r="347">
      <c r="K347" s="13"/>
      <c r="L347" s="13"/>
      <c r="M347" s="13"/>
      <c r="N347" s="13"/>
      <c r="O347" s="13"/>
      <c r="P347" s="13"/>
      <c r="Q347" s="13"/>
      <c r="R347" s="13"/>
      <c r="S347" s="13"/>
      <c r="T347" s="13"/>
    </row>
    <row r="348">
      <c r="K348" s="13"/>
      <c r="L348" s="13"/>
      <c r="M348" s="13"/>
      <c r="N348" s="13"/>
      <c r="O348" s="13"/>
      <c r="P348" s="13"/>
      <c r="Q348" s="13"/>
      <c r="R348" s="13"/>
      <c r="S348" s="13"/>
      <c r="T348" s="13"/>
    </row>
    <row r="349">
      <c r="K349" s="13"/>
      <c r="L349" s="13"/>
      <c r="M349" s="13"/>
      <c r="N349" s="13"/>
      <c r="O349" s="13"/>
      <c r="P349" s="13"/>
      <c r="Q349" s="13"/>
      <c r="R349" s="13"/>
      <c r="S349" s="13"/>
      <c r="T349" s="13"/>
    </row>
    <row r="350">
      <c r="K350" s="13"/>
      <c r="L350" s="13"/>
      <c r="M350" s="13"/>
      <c r="N350" s="13"/>
      <c r="O350" s="13"/>
      <c r="P350" s="13"/>
      <c r="Q350" s="13"/>
      <c r="R350" s="13"/>
      <c r="S350" s="13"/>
      <c r="T350" s="13"/>
    </row>
    <row r="351">
      <c r="K351" s="13"/>
      <c r="L351" s="13"/>
      <c r="M351" s="13"/>
      <c r="N351" s="13"/>
      <c r="O351" s="13"/>
      <c r="P351" s="13"/>
      <c r="Q351" s="13"/>
      <c r="R351" s="13"/>
      <c r="S351" s="13"/>
      <c r="T351" s="13"/>
    </row>
    <row r="352">
      <c r="K352" s="13"/>
      <c r="L352" s="13"/>
      <c r="M352" s="13"/>
      <c r="N352" s="13"/>
      <c r="O352" s="13"/>
      <c r="P352" s="13"/>
      <c r="Q352" s="13"/>
      <c r="R352" s="13"/>
      <c r="S352" s="13"/>
      <c r="T352" s="13"/>
    </row>
    <row r="353">
      <c r="K353" s="13"/>
      <c r="L353" s="13"/>
      <c r="M353" s="13"/>
      <c r="N353" s="13"/>
      <c r="O353" s="13"/>
      <c r="P353" s="13"/>
      <c r="Q353" s="13"/>
      <c r="R353" s="13"/>
      <c r="S353" s="13"/>
      <c r="T353" s="13"/>
    </row>
    <row r="354">
      <c r="K354" s="13"/>
      <c r="L354" s="13"/>
      <c r="M354" s="13"/>
      <c r="N354" s="13"/>
      <c r="O354" s="13"/>
      <c r="P354" s="13"/>
      <c r="Q354" s="13"/>
      <c r="R354" s="13"/>
      <c r="S354" s="13"/>
      <c r="T354" s="13"/>
    </row>
    <row r="355">
      <c r="K355" s="13"/>
      <c r="L355" s="13"/>
      <c r="M355" s="13"/>
      <c r="N355" s="13"/>
      <c r="O355" s="13"/>
      <c r="P355" s="13"/>
      <c r="Q355" s="13"/>
      <c r="R355" s="13"/>
      <c r="S355" s="13"/>
      <c r="T355" s="13"/>
    </row>
    <row r="356">
      <c r="K356" s="13"/>
      <c r="L356" s="13"/>
      <c r="M356" s="13"/>
      <c r="N356" s="13"/>
      <c r="O356" s="13"/>
      <c r="P356" s="13"/>
      <c r="Q356" s="13"/>
      <c r="R356" s="13"/>
      <c r="S356" s="13"/>
      <c r="T356" s="13"/>
    </row>
    <row r="357">
      <c r="K357" s="13"/>
      <c r="L357" s="13"/>
      <c r="M357" s="13"/>
      <c r="N357" s="13"/>
      <c r="O357" s="13"/>
      <c r="P357" s="13"/>
      <c r="Q357" s="13"/>
      <c r="R357" s="13"/>
      <c r="S357" s="13"/>
      <c r="T357" s="13"/>
    </row>
    <row r="358">
      <c r="K358" s="13"/>
      <c r="L358" s="13"/>
      <c r="M358" s="13"/>
      <c r="N358" s="13"/>
      <c r="O358" s="13"/>
      <c r="P358" s="13"/>
      <c r="Q358" s="13"/>
      <c r="R358" s="13"/>
      <c r="S358" s="13"/>
      <c r="T358" s="13"/>
    </row>
    <row r="359">
      <c r="K359" s="13"/>
      <c r="L359" s="13"/>
      <c r="M359" s="13"/>
      <c r="N359" s="13"/>
      <c r="O359" s="13"/>
      <c r="P359" s="13"/>
      <c r="Q359" s="13"/>
      <c r="R359" s="13"/>
      <c r="S359" s="13"/>
      <c r="T359" s="13"/>
    </row>
    <row r="360">
      <c r="K360" s="13"/>
      <c r="L360" s="13"/>
      <c r="M360" s="13"/>
      <c r="N360" s="13"/>
      <c r="O360" s="13"/>
      <c r="P360" s="13"/>
      <c r="Q360" s="13"/>
      <c r="R360" s="13"/>
      <c r="S360" s="13"/>
      <c r="T360" s="13"/>
    </row>
    <row r="361">
      <c r="K361" s="13"/>
      <c r="L361" s="13"/>
      <c r="M361" s="13"/>
      <c r="N361" s="13"/>
      <c r="O361" s="13"/>
      <c r="P361" s="13"/>
      <c r="Q361" s="13"/>
      <c r="R361" s="13"/>
      <c r="S361" s="13"/>
      <c r="T361" s="13"/>
    </row>
    <row r="362">
      <c r="K362" s="13"/>
      <c r="L362" s="13"/>
      <c r="M362" s="13"/>
      <c r="N362" s="13"/>
      <c r="O362" s="13"/>
      <c r="P362" s="13"/>
      <c r="Q362" s="13"/>
      <c r="R362" s="13"/>
      <c r="S362" s="13"/>
      <c r="T362" s="13"/>
    </row>
    <row r="363">
      <c r="K363" s="13"/>
      <c r="L363" s="13"/>
      <c r="M363" s="13"/>
      <c r="N363" s="13"/>
      <c r="O363" s="13"/>
      <c r="P363" s="13"/>
      <c r="Q363" s="13"/>
      <c r="R363" s="13"/>
      <c r="S363" s="13"/>
      <c r="T363" s="13"/>
    </row>
    <row r="364">
      <c r="K364" s="13"/>
      <c r="L364" s="13"/>
      <c r="M364" s="13"/>
      <c r="N364" s="13"/>
      <c r="O364" s="13"/>
      <c r="P364" s="13"/>
      <c r="Q364" s="13"/>
      <c r="R364" s="13"/>
      <c r="S364" s="13"/>
      <c r="T364" s="13"/>
    </row>
    <row r="365">
      <c r="K365" s="13"/>
      <c r="L365" s="13"/>
      <c r="M365" s="13"/>
      <c r="N365" s="13"/>
      <c r="O365" s="13"/>
      <c r="P365" s="13"/>
      <c r="Q365" s="13"/>
      <c r="R365" s="13"/>
      <c r="S365" s="13"/>
      <c r="T365" s="13"/>
    </row>
    <row r="366">
      <c r="K366" s="13"/>
      <c r="L366" s="13"/>
      <c r="M366" s="13"/>
      <c r="N366" s="13"/>
      <c r="O366" s="13"/>
      <c r="P366" s="13"/>
      <c r="Q366" s="13"/>
      <c r="R366" s="13"/>
      <c r="S366" s="13"/>
      <c r="T366" s="13"/>
    </row>
    <row r="367">
      <c r="K367" s="13"/>
      <c r="L367" s="13"/>
      <c r="M367" s="13"/>
      <c r="N367" s="13"/>
      <c r="O367" s="13"/>
      <c r="P367" s="13"/>
      <c r="Q367" s="13"/>
      <c r="R367" s="13"/>
      <c r="S367" s="13"/>
      <c r="T367" s="13"/>
    </row>
    <row r="368">
      <c r="K368" s="13"/>
      <c r="L368" s="13"/>
      <c r="M368" s="13"/>
      <c r="N368" s="13"/>
      <c r="O368" s="13"/>
      <c r="P368" s="13"/>
      <c r="Q368" s="13"/>
      <c r="R368" s="13"/>
      <c r="S368" s="13"/>
      <c r="T368" s="13"/>
    </row>
    <row r="369">
      <c r="K369" s="13"/>
      <c r="L369" s="13"/>
      <c r="M369" s="13"/>
      <c r="N369" s="13"/>
      <c r="O369" s="13"/>
      <c r="P369" s="13"/>
      <c r="Q369" s="13"/>
      <c r="R369" s="13"/>
      <c r="S369" s="13"/>
      <c r="T369" s="13"/>
    </row>
    <row r="370">
      <c r="K370" s="13"/>
      <c r="L370" s="13"/>
      <c r="M370" s="13"/>
      <c r="N370" s="13"/>
      <c r="O370" s="13"/>
      <c r="P370" s="13"/>
      <c r="Q370" s="13"/>
      <c r="R370" s="13"/>
      <c r="S370" s="13"/>
      <c r="T370" s="13"/>
    </row>
    <row r="371">
      <c r="K371" s="13"/>
      <c r="L371" s="13"/>
      <c r="M371" s="13"/>
      <c r="N371" s="13"/>
      <c r="O371" s="13"/>
      <c r="P371" s="13"/>
      <c r="Q371" s="13"/>
      <c r="R371" s="13"/>
      <c r="S371" s="13"/>
      <c r="T371" s="13"/>
    </row>
    <row r="372">
      <c r="K372" s="13"/>
      <c r="L372" s="13"/>
      <c r="M372" s="13"/>
      <c r="N372" s="13"/>
      <c r="O372" s="13"/>
      <c r="P372" s="13"/>
      <c r="Q372" s="13"/>
      <c r="R372" s="13"/>
      <c r="S372" s="13"/>
      <c r="T372" s="13"/>
    </row>
    <row r="373">
      <c r="K373" s="13"/>
      <c r="L373" s="13"/>
      <c r="M373" s="13"/>
      <c r="N373" s="13"/>
      <c r="O373" s="13"/>
      <c r="P373" s="13"/>
      <c r="Q373" s="13"/>
      <c r="R373" s="13"/>
      <c r="S373" s="13"/>
      <c r="T373" s="13"/>
    </row>
    <row r="374">
      <c r="K374" s="13"/>
      <c r="L374" s="13"/>
      <c r="M374" s="13"/>
      <c r="N374" s="13"/>
      <c r="O374" s="13"/>
      <c r="P374" s="13"/>
      <c r="Q374" s="13"/>
      <c r="R374" s="13"/>
      <c r="S374" s="13"/>
      <c r="T374" s="13"/>
    </row>
    <row r="375">
      <c r="K375" s="13"/>
      <c r="L375" s="13"/>
      <c r="M375" s="13"/>
      <c r="N375" s="13"/>
      <c r="O375" s="13"/>
      <c r="P375" s="13"/>
      <c r="Q375" s="13"/>
      <c r="R375" s="13"/>
      <c r="S375" s="13"/>
      <c r="T375" s="13"/>
    </row>
    <row r="376">
      <c r="K376" s="13"/>
      <c r="L376" s="13"/>
      <c r="M376" s="13"/>
      <c r="N376" s="13"/>
      <c r="O376" s="13"/>
      <c r="P376" s="13"/>
      <c r="Q376" s="13"/>
      <c r="R376" s="13"/>
      <c r="S376" s="13"/>
      <c r="T376" s="13"/>
    </row>
    <row r="377">
      <c r="K377" s="13"/>
      <c r="L377" s="13"/>
      <c r="M377" s="13"/>
      <c r="N377" s="13"/>
      <c r="O377" s="13"/>
      <c r="P377" s="13"/>
      <c r="Q377" s="13"/>
      <c r="R377" s="13"/>
      <c r="S377" s="13"/>
      <c r="T377" s="13"/>
    </row>
    <row r="378">
      <c r="K378" s="13"/>
      <c r="L378" s="13"/>
      <c r="M378" s="13"/>
      <c r="N378" s="13"/>
      <c r="O378" s="13"/>
      <c r="P378" s="13"/>
      <c r="Q378" s="13"/>
      <c r="R378" s="13"/>
      <c r="S378" s="13"/>
      <c r="T378" s="13"/>
    </row>
    <row r="379">
      <c r="K379" s="13"/>
      <c r="L379" s="13"/>
      <c r="M379" s="13"/>
      <c r="N379" s="13"/>
      <c r="O379" s="13"/>
      <c r="P379" s="13"/>
      <c r="Q379" s="13"/>
      <c r="R379" s="13"/>
      <c r="S379" s="13"/>
      <c r="T379" s="13"/>
    </row>
    <row r="380">
      <c r="K380" s="13"/>
      <c r="L380" s="13"/>
      <c r="M380" s="13"/>
      <c r="N380" s="13"/>
      <c r="O380" s="13"/>
      <c r="P380" s="13"/>
      <c r="Q380" s="13"/>
      <c r="R380" s="13"/>
      <c r="S380" s="13"/>
      <c r="T380" s="13"/>
    </row>
    <row r="381">
      <c r="K381" s="13"/>
      <c r="L381" s="13"/>
      <c r="M381" s="13"/>
      <c r="N381" s="13"/>
      <c r="O381" s="13"/>
      <c r="P381" s="13"/>
      <c r="Q381" s="13"/>
      <c r="R381" s="13"/>
      <c r="S381" s="13"/>
      <c r="T381" s="13"/>
    </row>
    <row r="382">
      <c r="K382" s="13"/>
      <c r="L382" s="13"/>
      <c r="M382" s="13"/>
      <c r="N382" s="13"/>
      <c r="O382" s="13"/>
      <c r="P382" s="13"/>
      <c r="Q382" s="13"/>
      <c r="R382" s="13"/>
      <c r="S382" s="13"/>
      <c r="T382" s="13"/>
    </row>
    <row r="383">
      <c r="K383" s="13"/>
      <c r="L383" s="13"/>
      <c r="M383" s="13"/>
      <c r="N383" s="13"/>
      <c r="O383" s="13"/>
      <c r="P383" s="13"/>
      <c r="Q383" s="13"/>
      <c r="R383" s="13"/>
      <c r="S383" s="13"/>
      <c r="T383" s="13"/>
    </row>
    <row r="384">
      <c r="K384" s="13"/>
      <c r="L384" s="13"/>
      <c r="M384" s="13"/>
      <c r="N384" s="13"/>
      <c r="O384" s="13"/>
      <c r="P384" s="13"/>
      <c r="Q384" s="13"/>
      <c r="R384" s="13"/>
      <c r="S384" s="13"/>
      <c r="T384" s="13"/>
    </row>
    <row r="385">
      <c r="K385" s="13"/>
      <c r="L385" s="13"/>
      <c r="M385" s="13"/>
      <c r="N385" s="13"/>
      <c r="O385" s="13"/>
      <c r="P385" s="13"/>
      <c r="Q385" s="13"/>
      <c r="R385" s="13"/>
      <c r="S385" s="13"/>
      <c r="T385" s="13"/>
    </row>
    <row r="386">
      <c r="K386" s="13"/>
      <c r="L386" s="13"/>
      <c r="M386" s="13"/>
      <c r="N386" s="13"/>
      <c r="O386" s="13"/>
      <c r="P386" s="13"/>
      <c r="Q386" s="13"/>
      <c r="R386" s="13"/>
      <c r="S386" s="13"/>
      <c r="T386" s="13"/>
    </row>
    <row r="387">
      <c r="K387" s="13"/>
      <c r="L387" s="13"/>
      <c r="M387" s="13"/>
      <c r="N387" s="13"/>
      <c r="O387" s="13"/>
      <c r="P387" s="13"/>
      <c r="Q387" s="13"/>
      <c r="R387" s="13"/>
      <c r="S387" s="13"/>
      <c r="T387" s="13"/>
    </row>
    <row r="388">
      <c r="K388" s="13"/>
      <c r="L388" s="13"/>
      <c r="M388" s="13"/>
      <c r="N388" s="13"/>
      <c r="O388" s="13"/>
      <c r="P388" s="13"/>
      <c r="Q388" s="13"/>
      <c r="R388" s="13"/>
      <c r="S388" s="13"/>
      <c r="T388" s="13"/>
    </row>
    <row r="389">
      <c r="K389" s="13"/>
      <c r="L389" s="13"/>
      <c r="M389" s="13"/>
      <c r="N389" s="13"/>
      <c r="O389" s="13"/>
      <c r="P389" s="13"/>
      <c r="Q389" s="13"/>
      <c r="R389" s="13"/>
      <c r="S389" s="13"/>
      <c r="T389" s="13"/>
    </row>
    <row r="390">
      <c r="K390" s="13"/>
      <c r="L390" s="13"/>
      <c r="M390" s="13"/>
      <c r="N390" s="13"/>
      <c r="O390" s="13"/>
      <c r="P390" s="13"/>
      <c r="Q390" s="13"/>
      <c r="R390" s="13"/>
      <c r="S390" s="13"/>
      <c r="T390" s="13"/>
    </row>
    <row r="391">
      <c r="K391" s="13"/>
      <c r="L391" s="13"/>
      <c r="M391" s="13"/>
      <c r="N391" s="13"/>
      <c r="O391" s="13"/>
      <c r="P391" s="13"/>
      <c r="Q391" s="13"/>
      <c r="R391" s="13"/>
      <c r="S391" s="13"/>
      <c r="T391" s="13"/>
    </row>
    <row r="392">
      <c r="K392" s="13"/>
      <c r="L392" s="13"/>
      <c r="M392" s="13"/>
      <c r="N392" s="13"/>
      <c r="O392" s="13"/>
      <c r="P392" s="13"/>
      <c r="Q392" s="13"/>
      <c r="R392" s="13"/>
      <c r="S392" s="13"/>
      <c r="T392" s="13"/>
    </row>
    <row r="393">
      <c r="K393" s="13"/>
      <c r="L393" s="13"/>
      <c r="M393" s="13"/>
      <c r="N393" s="13"/>
      <c r="O393" s="13"/>
      <c r="P393" s="13"/>
      <c r="Q393" s="13"/>
      <c r="R393" s="13"/>
      <c r="S393" s="13"/>
      <c r="T393" s="13"/>
    </row>
    <row r="394">
      <c r="K394" s="13"/>
      <c r="L394" s="13"/>
      <c r="M394" s="13"/>
      <c r="N394" s="13"/>
      <c r="O394" s="13"/>
      <c r="P394" s="13"/>
      <c r="Q394" s="13"/>
      <c r="R394" s="13"/>
      <c r="S394" s="13"/>
      <c r="T394" s="13"/>
    </row>
    <row r="395">
      <c r="K395" s="13"/>
      <c r="L395" s="13"/>
      <c r="M395" s="13"/>
      <c r="N395" s="13"/>
      <c r="O395" s="13"/>
      <c r="P395" s="13"/>
      <c r="Q395" s="13"/>
      <c r="R395" s="13"/>
      <c r="S395" s="13"/>
      <c r="T395" s="13"/>
    </row>
    <row r="396">
      <c r="K396" s="13"/>
      <c r="L396" s="13"/>
      <c r="M396" s="13"/>
      <c r="N396" s="13"/>
      <c r="O396" s="13"/>
      <c r="P396" s="13"/>
      <c r="Q396" s="13"/>
      <c r="R396" s="13"/>
      <c r="S396" s="13"/>
      <c r="T396" s="13"/>
    </row>
    <row r="397">
      <c r="K397" s="13"/>
      <c r="L397" s="13"/>
      <c r="M397" s="13"/>
      <c r="N397" s="13"/>
      <c r="O397" s="13"/>
      <c r="P397" s="13"/>
      <c r="Q397" s="13"/>
      <c r="R397" s="13"/>
      <c r="S397" s="13"/>
      <c r="T397" s="13"/>
    </row>
    <row r="398">
      <c r="K398" s="13"/>
      <c r="L398" s="13"/>
      <c r="M398" s="13"/>
      <c r="N398" s="13"/>
      <c r="O398" s="13"/>
      <c r="P398" s="13"/>
      <c r="Q398" s="13"/>
      <c r="R398" s="13"/>
      <c r="S398" s="13"/>
      <c r="T398" s="13"/>
    </row>
    <row r="399">
      <c r="K399" s="13"/>
      <c r="L399" s="13"/>
      <c r="M399" s="13"/>
      <c r="N399" s="13"/>
      <c r="O399" s="13"/>
      <c r="P399" s="13"/>
      <c r="Q399" s="13"/>
      <c r="R399" s="13"/>
      <c r="S399" s="13"/>
      <c r="T399" s="13"/>
    </row>
    <row r="400">
      <c r="K400" s="13"/>
      <c r="L400" s="13"/>
      <c r="M400" s="13"/>
      <c r="N400" s="13"/>
      <c r="O400" s="13"/>
      <c r="P400" s="13"/>
      <c r="Q400" s="13"/>
      <c r="R400" s="13"/>
      <c r="S400" s="13"/>
      <c r="T400" s="13"/>
    </row>
    <row r="401">
      <c r="K401" s="13"/>
      <c r="L401" s="13"/>
      <c r="M401" s="13"/>
      <c r="N401" s="13"/>
      <c r="O401" s="13"/>
      <c r="P401" s="13"/>
      <c r="Q401" s="13"/>
      <c r="R401" s="13"/>
      <c r="S401" s="13"/>
      <c r="T401" s="13"/>
    </row>
    <row r="402">
      <c r="K402" s="13"/>
      <c r="L402" s="13"/>
      <c r="M402" s="13"/>
      <c r="N402" s="13"/>
      <c r="O402" s="13"/>
      <c r="P402" s="13"/>
      <c r="Q402" s="13"/>
      <c r="R402" s="13"/>
      <c r="S402" s="13"/>
      <c r="T402" s="13"/>
    </row>
    <row r="403">
      <c r="K403" s="13"/>
      <c r="L403" s="13"/>
      <c r="M403" s="13"/>
      <c r="N403" s="13"/>
      <c r="O403" s="13"/>
      <c r="P403" s="13"/>
      <c r="Q403" s="13"/>
      <c r="R403" s="13"/>
      <c r="S403" s="13"/>
      <c r="T403" s="13"/>
    </row>
    <row r="404">
      <c r="K404" s="13"/>
      <c r="L404" s="13"/>
      <c r="M404" s="13"/>
      <c r="N404" s="13"/>
      <c r="O404" s="13"/>
      <c r="P404" s="13"/>
      <c r="Q404" s="13"/>
      <c r="R404" s="13"/>
      <c r="S404" s="13"/>
      <c r="T404" s="13"/>
    </row>
    <row r="405">
      <c r="K405" s="13"/>
      <c r="L405" s="13"/>
      <c r="M405" s="13"/>
      <c r="N405" s="13"/>
      <c r="O405" s="13"/>
      <c r="P405" s="13"/>
      <c r="Q405" s="13"/>
      <c r="R405" s="13"/>
      <c r="S405" s="13"/>
      <c r="T405" s="13"/>
    </row>
    <row r="406">
      <c r="K406" s="13"/>
      <c r="L406" s="13"/>
      <c r="M406" s="13"/>
      <c r="N406" s="13"/>
      <c r="O406" s="13"/>
      <c r="P406" s="13"/>
      <c r="Q406" s="13"/>
      <c r="R406" s="13"/>
      <c r="S406" s="13"/>
      <c r="T406" s="13"/>
    </row>
    <row r="407">
      <c r="K407" s="13"/>
      <c r="L407" s="13"/>
      <c r="M407" s="13"/>
      <c r="N407" s="13"/>
      <c r="O407" s="13"/>
      <c r="P407" s="13"/>
      <c r="Q407" s="13"/>
      <c r="R407" s="13"/>
      <c r="S407" s="13"/>
      <c r="T407" s="13"/>
    </row>
    <row r="408">
      <c r="K408" s="13"/>
      <c r="L408" s="13"/>
      <c r="M408" s="13"/>
      <c r="N408" s="13"/>
      <c r="O408" s="13"/>
      <c r="P408" s="13"/>
      <c r="Q408" s="13"/>
      <c r="R408" s="13"/>
      <c r="S408" s="13"/>
      <c r="T408" s="13"/>
    </row>
    <row r="409">
      <c r="K409" s="13"/>
      <c r="L409" s="13"/>
      <c r="M409" s="13"/>
      <c r="N409" s="13"/>
      <c r="O409" s="13"/>
      <c r="P409" s="13"/>
      <c r="Q409" s="13"/>
      <c r="R409" s="13"/>
      <c r="S409" s="13"/>
      <c r="T409" s="13"/>
    </row>
    <row r="410">
      <c r="K410" s="13"/>
      <c r="L410" s="13"/>
      <c r="M410" s="13"/>
      <c r="N410" s="13"/>
      <c r="O410" s="13"/>
      <c r="P410" s="13"/>
      <c r="Q410" s="13"/>
      <c r="R410" s="13"/>
      <c r="S410" s="13"/>
      <c r="T410" s="13"/>
    </row>
    <row r="411">
      <c r="K411" s="13"/>
      <c r="L411" s="13"/>
      <c r="M411" s="13"/>
      <c r="N411" s="13"/>
      <c r="O411" s="13"/>
      <c r="P411" s="13"/>
      <c r="Q411" s="13"/>
      <c r="R411" s="13"/>
      <c r="S411" s="13"/>
      <c r="T411" s="13"/>
    </row>
    <row r="412">
      <c r="K412" s="13"/>
      <c r="L412" s="13"/>
      <c r="M412" s="13"/>
      <c r="N412" s="13"/>
      <c r="O412" s="13"/>
      <c r="P412" s="13"/>
      <c r="Q412" s="13"/>
      <c r="R412" s="13"/>
      <c r="S412" s="13"/>
      <c r="T412" s="13"/>
    </row>
    <row r="413">
      <c r="K413" s="13"/>
      <c r="L413" s="13"/>
      <c r="M413" s="13"/>
      <c r="N413" s="13"/>
      <c r="O413" s="13"/>
      <c r="P413" s="13"/>
      <c r="Q413" s="13"/>
      <c r="R413" s="13"/>
      <c r="S413" s="13"/>
      <c r="T413" s="13"/>
    </row>
    <row r="414">
      <c r="K414" s="13"/>
      <c r="L414" s="13"/>
      <c r="M414" s="13"/>
      <c r="N414" s="13"/>
      <c r="O414" s="13"/>
      <c r="P414" s="13"/>
      <c r="Q414" s="13"/>
      <c r="R414" s="13"/>
      <c r="S414" s="13"/>
      <c r="T414" s="13"/>
    </row>
    <row r="415">
      <c r="K415" s="13"/>
      <c r="L415" s="13"/>
      <c r="M415" s="13"/>
      <c r="N415" s="13"/>
      <c r="O415" s="13"/>
      <c r="P415" s="13"/>
      <c r="Q415" s="13"/>
      <c r="R415" s="13"/>
      <c r="S415" s="13"/>
      <c r="T415" s="13"/>
    </row>
    <row r="416">
      <c r="K416" s="13"/>
      <c r="L416" s="13"/>
      <c r="M416" s="13"/>
      <c r="N416" s="13"/>
      <c r="O416" s="13"/>
      <c r="P416" s="13"/>
      <c r="Q416" s="13"/>
      <c r="R416" s="13"/>
      <c r="S416" s="13"/>
      <c r="T416" s="13"/>
    </row>
    <row r="417">
      <c r="K417" s="13"/>
      <c r="L417" s="13"/>
      <c r="M417" s="13"/>
      <c r="N417" s="13"/>
      <c r="O417" s="13"/>
      <c r="P417" s="13"/>
      <c r="Q417" s="13"/>
      <c r="R417" s="13"/>
      <c r="S417" s="13"/>
      <c r="T417" s="13"/>
    </row>
    <row r="418">
      <c r="K418" s="13"/>
      <c r="L418" s="13"/>
      <c r="M418" s="13"/>
      <c r="N418" s="13"/>
      <c r="O418" s="13"/>
      <c r="P418" s="13"/>
      <c r="Q418" s="13"/>
      <c r="R418" s="13"/>
      <c r="S418" s="13"/>
      <c r="T418" s="13"/>
    </row>
    <row r="419">
      <c r="K419" s="13"/>
      <c r="L419" s="13"/>
      <c r="M419" s="13"/>
      <c r="N419" s="13"/>
      <c r="O419" s="13"/>
      <c r="P419" s="13"/>
      <c r="Q419" s="13"/>
      <c r="R419" s="13"/>
      <c r="S419" s="13"/>
      <c r="T419" s="13"/>
    </row>
    <row r="420">
      <c r="K420" s="13"/>
      <c r="L420" s="13"/>
      <c r="M420" s="13"/>
      <c r="N420" s="13"/>
      <c r="O420" s="13"/>
      <c r="P420" s="13"/>
      <c r="Q420" s="13"/>
      <c r="R420" s="13"/>
      <c r="S420" s="13"/>
      <c r="T420" s="13"/>
    </row>
    <row r="421"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>
      <c r="K422" s="13"/>
      <c r="L422" s="13"/>
      <c r="M422" s="13"/>
      <c r="N422" s="13"/>
      <c r="O422" s="13"/>
      <c r="P422" s="13"/>
      <c r="Q422" s="13"/>
      <c r="R422" s="13"/>
      <c r="S422" s="13"/>
      <c r="T422" s="13"/>
    </row>
    <row r="423"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>
      <c r="K424" s="13"/>
      <c r="L424" s="13"/>
      <c r="M424" s="13"/>
      <c r="N424" s="13"/>
      <c r="O424" s="13"/>
      <c r="P424" s="13"/>
      <c r="Q424" s="13"/>
      <c r="R424" s="13"/>
      <c r="S424" s="13"/>
      <c r="T424" s="13"/>
    </row>
    <row r="425"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>
      <c r="K426" s="13"/>
      <c r="L426" s="13"/>
      <c r="M426" s="13"/>
      <c r="N426" s="13"/>
      <c r="O426" s="13"/>
      <c r="P426" s="13"/>
      <c r="Q426" s="13"/>
      <c r="R426" s="13"/>
      <c r="S426" s="13"/>
      <c r="T426" s="13"/>
    </row>
    <row r="427"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>
      <c r="K428" s="13"/>
      <c r="L428" s="13"/>
      <c r="M428" s="13"/>
      <c r="N428" s="13"/>
      <c r="O428" s="13"/>
      <c r="P428" s="13"/>
      <c r="Q428" s="13"/>
      <c r="R428" s="13"/>
      <c r="S428" s="13"/>
      <c r="T428" s="13"/>
    </row>
    <row r="429"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>
      <c r="K430" s="13"/>
      <c r="L430" s="13"/>
      <c r="M430" s="13"/>
      <c r="N430" s="13"/>
      <c r="O430" s="13"/>
      <c r="P430" s="13"/>
      <c r="Q430" s="13"/>
      <c r="R430" s="13"/>
      <c r="S430" s="13"/>
      <c r="T430" s="13"/>
    </row>
    <row r="431"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>
      <c r="K432" s="13"/>
      <c r="L432" s="13"/>
      <c r="M432" s="13"/>
      <c r="N432" s="13"/>
      <c r="O432" s="13"/>
      <c r="P432" s="13"/>
      <c r="Q432" s="13"/>
      <c r="R432" s="13"/>
      <c r="S432" s="13"/>
      <c r="T432" s="13"/>
    </row>
    <row r="433"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>
      <c r="K434" s="13"/>
      <c r="L434" s="13"/>
      <c r="M434" s="13"/>
      <c r="N434" s="13"/>
      <c r="O434" s="13"/>
      <c r="P434" s="13"/>
      <c r="Q434" s="13"/>
      <c r="R434" s="13"/>
      <c r="S434" s="13"/>
      <c r="T434" s="13"/>
    </row>
    <row r="435"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>
      <c r="K436" s="13"/>
      <c r="L436" s="13"/>
      <c r="M436" s="13"/>
      <c r="N436" s="13"/>
      <c r="O436" s="13"/>
      <c r="P436" s="13"/>
      <c r="Q436" s="13"/>
      <c r="R436" s="13"/>
      <c r="S436" s="13"/>
      <c r="T436" s="13"/>
    </row>
    <row r="437"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>
      <c r="K438" s="13"/>
      <c r="L438" s="13"/>
      <c r="M438" s="13"/>
      <c r="N438" s="13"/>
      <c r="O438" s="13"/>
      <c r="P438" s="13"/>
      <c r="Q438" s="13"/>
      <c r="R438" s="13"/>
      <c r="S438" s="13"/>
      <c r="T438" s="13"/>
    </row>
    <row r="439"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>
      <c r="K440" s="13"/>
      <c r="L440" s="13"/>
      <c r="M440" s="13"/>
      <c r="N440" s="13"/>
      <c r="O440" s="13"/>
      <c r="P440" s="13"/>
      <c r="Q440" s="13"/>
      <c r="R440" s="13"/>
      <c r="S440" s="13"/>
      <c r="T440" s="13"/>
    </row>
    <row r="441"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>
      <c r="K442" s="13"/>
      <c r="L442" s="13"/>
      <c r="M442" s="13"/>
      <c r="N442" s="13"/>
      <c r="O442" s="13"/>
      <c r="P442" s="13"/>
      <c r="Q442" s="13"/>
      <c r="R442" s="13"/>
      <c r="S442" s="13"/>
      <c r="T442" s="13"/>
    </row>
    <row r="443"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>
      <c r="K444" s="13"/>
      <c r="L444" s="13"/>
      <c r="M444" s="13"/>
      <c r="N444" s="13"/>
      <c r="O444" s="13"/>
      <c r="P444" s="13"/>
      <c r="Q444" s="13"/>
      <c r="R444" s="13"/>
      <c r="S444" s="13"/>
      <c r="T444" s="13"/>
    </row>
    <row r="445"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>
      <c r="K446" s="13"/>
      <c r="L446" s="13"/>
      <c r="M446" s="13"/>
      <c r="N446" s="13"/>
      <c r="O446" s="13"/>
      <c r="P446" s="13"/>
      <c r="Q446" s="13"/>
      <c r="R446" s="13"/>
      <c r="S446" s="13"/>
      <c r="T446" s="13"/>
    </row>
    <row r="447"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>
      <c r="K448" s="13"/>
      <c r="L448" s="13"/>
      <c r="M448" s="13"/>
      <c r="N448" s="13"/>
      <c r="O448" s="13"/>
      <c r="P448" s="13"/>
      <c r="Q448" s="13"/>
      <c r="R448" s="13"/>
      <c r="S448" s="13"/>
      <c r="T448" s="13"/>
    </row>
    <row r="449"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>
      <c r="K450" s="13"/>
      <c r="L450" s="13"/>
      <c r="M450" s="13"/>
      <c r="N450" s="13"/>
      <c r="O450" s="13"/>
      <c r="P450" s="13"/>
      <c r="Q450" s="13"/>
      <c r="R450" s="13"/>
      <c r="S450" s="13"/>
      <c r="T450" s="13"/>
    </row>
    <row r="451"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>
      <c r="K452" s="13"/>
      <c r="L452" s="13"/>
      <c r="M452" s="13"/>
      <c r="N452" s="13"/>
      <c r="O452" s="13"/>
      <c r="P452" s="13"/>
      <c r="Q452" s="13"/>
      <c r="R452" s="13"/>
      <c r="S452" s="13"/>
      <c r="T452" s="13"/>
    </row>
    <row r="453"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>
      <c r="K454" s="13"/>
      <c r="L454" s="13"/>
      <c r="M454" s="13"/>
      <c r="N454" s="13"/>
      <c r="O454" s="13"/>
      <c r="P454" s="13"/>
      <c r="Q454" s="13"/>
      <c r="R454" s="13"/>
      <c r="S454" s="13"/>
      <c r="T454" s="13"/>
    </row>
    <row r="455"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>
      <c r="K456" s="13"/>
      <c r="L456" s="13"/>
      <c r="M456" s="13"/>
      <c r="N456" s="13"/>
      <c r="O456" s="13"/>
      <c r="P456" s="13"/>
      <c r="Q456" s="13"/>
      <c r="R456" s="13"/>
      <c r="S456" s="13"/>
      <c r="T456" s="13"/>
    </row>
    <row r="457"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>
      <c r="K458" s="13"/>
      <c r="L458" s="13"/>
      <c r="M458" s="13"/>
      <c r="N458" s="13"/>
      <c r="O458" s="13"/>
      <c r="P458" s="13"/>
      <c r="Q458" s="13"/>
      <c r="R458" s="13"/>
      <c r="S458" s="13"/>
      <c r="T458" s="13"/>
    </row>
    <row r="459"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>
      <c r="K460" s="13"/>
      <c r="L460" s="13"/>
      <c r="M460" s="13"/>
      <c r="N460" s="13"/>
      <c r="O460" s="13"/>
      <c r="P460" s="13"/>
      <c r="Q460" s="13"/>
      <c r="R460" s="13"/>
      <c r="S460" s="13"/>
      <c r="T460" s="13"/>
    </row>
    <row r="461"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>
      <c r="K462" s="13"/>
      <c r="L462" s="13"/>
      <c r="M462" s="13"/>
      <c r="N462" s="13"/>
      <c r="O462" s="13"/>
      <c r="P462" s="13"/>
      <c r="Q462" s="13"/>
      <c r="R462" s="13"/>
      <c r="S462" s="13"/>
      <c r="T462" s="13"/>
    </row>
    <row r="463"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>
      <c r="K464" s="13"/>
      <c r="L464" s="13"/>
      <c r="M464" s="13"/>
      <c r="N464" s="13"/>
      <c r="O464" s="13"/>
      <c r="P464" s="13"/>
      <c r="Q464" s="13"/>
      <c r="R464" s="13"/>
      <c r="S464" s="13"/>
      <c r="T464" s="13"/>
    </row>
    <row r="465"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>
      <c r="K466" s="13"/>
      <c r="L466" s="13"/>
      <c r="M466" s="13"/>
      <c r="N466" s="13"/>
      <c r="O466" s="13"/>
      <c r="P466" s="13"/>
      <c r="Q466" s="13"/>
      <c r="R466" s="13"/>
      <c r="S466" s="13"/>
      <c r="T466" s="13"/>
    </row>
    <row r="467"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>
      <c r="K468" s="13"/>
      <c r="L468" s="13"/>
      <c r="M468" s="13"/>
      <c r="N468" s="13"/>
      <c r="O468" s="13"/>
      <c r="P468" s="13"/>
      <c r="Q468" s="13"/>
      <c r="R468" s="13"/>
      <c r="S468" s="13"/>
      <c r="T468" s="13"/>
    </row>
    <row r="469"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>
      <c r="K470" s="13"/>
      <c r="L470" s="13"/>
      <c r="M470" s="13"/>
      <c r="N470" s="13"/>
      <c r="O470" s="13"/>
      <c r="P470" s="13"/>
      <c r="Q470" s="13"/>
      <c r="R470" s="13"/>
      <c r="S470" s="13"/>
      <c r="T470" s="13"/>
    </row>
    <row r="471"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>
      <c r="K472" s="13"/>
      <c r="L472" s="13"/>
      <c r="M472" s="13"/>
      <c r="N472" s="13"/>
      <c r="O472" s="13"/>
      <c r="P472" s="13"/>
      <c r="Q472" s="13"/>
      <c r="R472" s="13"/>
      <c r="S472" s="13"/>
      <c r="T472" s="13"/>
    </row>
    <row r="473"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>
      <c r="K474" s="13"/>
      <c r="L474" s="13"/>
      <c r="M474" s="13"/>
      <c r="N474" s="13"/>
      <c r="O474" s="13"/>
      <c r="P474" s="13"/>
      <c r="Q474" s="13"/>
      <c r="R474" s="13"/>
      <c r="S474" s="13"/>
      <c r="T474" s="13"/>
    </row>
    <row r="475"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>
      <c r="K476" s="13"/>
      <c r="L476" s="13"/>
      <c r="M476" s="13"/>
      <c r="N476" s="13"/>
      <c r="O476" s="13"/>
      <c r="P476" s="13"/>
      <c r="Q476" s="13"/>
      <c r="R476" s="13"/>
      <c r="S476" s="13"/>
      <c r="T476" s="13"/>
    </row>
    <row r="477"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>
      <c r="K478" s="13"/>
      <c r="L478" s="13"/>
      <c r="M478" s="13"/>
      <c r="N478" s="13"/>
      <c r="O478" s="13"/>
      <c r="P478" s="13"/>
      <c r="Q478" s="13"/>
      <c r="R478" s="13"/>
      <c r="S478" s="13"/>
      <c r="T478" s="13"/>
    </row>
    <row r="479"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>
      <c r="K480" s="13"/>
      <c r="L480" s="13"/>
      <c r="M480" s="13"/>
      <c r="N480" s="13"/>
      <c r="O480" s="13"/>
      <c r="P480" s="13"/>
      <c r="Q480" s="13"/>
      <c r="R480" s="13"/>
      <c r="S480" s="13"/>
      <c r="T480" s="13"/>
    </row>
    <row r="481"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>
      <c r="K482" s="13"/>
      <c r="L482" s="13"/>
      <c r="M482" s="13"/>
      <c r="N482" s="13"/>
      <c r="O482" s="13"/>
      <c r="P482" s="13"/>
      <c r="Q482" s="13"/>
      <c r="R482" s="13"/>
      <c r="S482" s="13"/>
      <c r="T482" s="13"/>
    </row>
    <row r="483"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>
      <c r="K484" s="13"/>
      <c r="L484" s="13"/>
      <c r="M484" s="13"/>
      <c r="N484" s="13"/>
      <c r="O484" s="13"/>
      <c r="P484" s="13"/>
      <c r="Q484" s="13"/>
      <c r="R484" s="13"/>
      <c r="S484" s="13"/>
      <c r="T484" s="13"/>
    </row>
    <row r="485"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>
      <c r="K486" s="13"/>
      <c r="L486" s="13"/>
      <c r="M486" s="13"/>
      <c r="N486" s="13"/>
      <c r="O486" s="13"/>
      <c r="P486" s="13"/>
      <c r="Q486" s="13"/>
      <c r="R486" s="13"/>
      <c r="S486" s="13"/>
      <c r="T486" s="13"/>
    </row>
    <row r="487"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>
      <c r="K488" s="13"/>
      <c r="L488" s="13"/>
      <c r="M488" s="13"/>
      <c r="N488" s="13"/>
      <c r="O488" s="13"/>
      <c r="P488" s="13"/>
      <c r="Q488" s="13"/>
      <c r="R488" s="13"/>
      <c r="S488" s="13"/>
      <c r="T488" s="13"/>
    </row>
    <row r="489"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>
      <c r="K490" s="13"/>
      <c r="L490" s="13"/>
      <c r="M490" s="13"/>
      <c r="N490" s="13"/>
      <c r="O490" s="13"/>
      <c r="P490" s="13"/>
      <c r="Q490" s="13"/>
      <c r="R490" s="13"/>
      <c r="S490" s="13"/>
      <c r="T490" s="13"/>
    </row>
    <row r="491"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>
      <c r="K492" s="13"/>
      <c r="L492" s="13"/>
      <c r="M492" s="13"/>
      <c r="N492" s="13"/>
      <c r="O492" s="13"/>
      <c r="P492" s="13"/>
      <c r="Q492" s="13"/>
      <c r="R492" s="13"/>
      <c r="S492" s="13"/>
      <c r="T492" s="13"/>
    </row>
    <row r="493"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>
      <c r="K494" s="13"/>
      <c r="L494" s="13"/>
      <c r="M494" s="13"/>
      <c r="N494" s="13"/>
      <c r="O494" s="13"/>
      <c r="P494" s="13"/>
      <c r="Q494" s="13"/>
      <c r="R494" s="13"/>
      <c r="S494" s="13"/>
      <c r="T494" s="13"/>
    </row>
    <row r="495"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>
      <c r="K496" s="13"/>
      <c r="L496" s="13"/>
      <c r="M496" s="13"/>
      <c r="N496" s="13"/>
      <c r="O496" s="13"/>
      <c r="P496" s="13"/>
      <c r="Q496" s="13"/>
      <c r="R496" s="13"/>
      <c r="S496" s="13"/>
      <c r="T496" s="13"/>
    </row>
    <row r="497"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>
      <c r="K498" s="13"/>
      <c r="L498" s="13"/>
      <c r="M498" s="13"/>
      <c r="N498" s="13"/>
      <c r="O498" s="13"/>
      <c r="P498" s="13"/>
      <c r="Q498" s="13"/>
      <c r="R498" s="13"/>
      <c r="S498" s="13"/>
      <c r="T498" s="13"/>
    </row>
    <row r="499"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>
      <c r="K500" s="13"/>
      <c r="L500" s="13"/>
      <c r="M500" s="13"/>
      <c r="N500" s="13"/>
      <c r="O500" s="13"/>
      <c r="P500" s="13"/>
      <c r="Q500" s="13"/>
      <c r="R500" s="13"/>
      <c r="S500" s="13"/>
      <c r="T500" s="13"/>
    </row>
    <row r="501"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>
      <c r="K502" s="13"/>
      <c r="L502" s="13"/>
      <c r="M502" s="13"/>
      <c r="N502" s="13"/>
      <c r="O502" s="13"/>
      <c r="P502" s="13"/>
      <c r="Q502" s="13"/>
      <c r="R502" s="13"/>
      <c r="S502" s="13"/>
      <c r="T502" s="13"/>
    </row>
    <row r="503"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>
      <c r="K504" s="13"/>
      <c r="L504" s="13"/>
      <c r="M504" s="13"/>
      <c r="N504" s="13"/>
      <c r="O504" s="13"/>
      <c r="P504" s="13"/>
      <c r="Q504" s="13"/>
      <c r="R504" s="13"/>
      <c r="S504" s="13"/>
      <c r="T504" s="13"/>
    </row>
    <row r="505"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>
      <c r="K506" s="13"/>
      <c r="L506" s="13"/>
      <c r="M506" s="13"/>
      <c r="N506" s="13"/>
      <c r="O506" s="13"/>
      <c r="P506" s="13"/>
      <c r="Q506" s="13"/>
      <c r="R506" s="13"/>
      <c r="S506" s="13"/>
      <c r="T506" s="13"/>
    </row>
    <row r="507"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>
      <c r="K508" s="13"/>
      <c r="L508" s="13"/>
      <c r="M508" s="13"/>
      <c r="N508" s="13"/>
      <c r="O508" s="13"/>
      <c r="P508" s="13"/>
      <c r="Q508" s="13"/>
      <c r="R508" s="13"/>
      <c r="S508" s="13"/>
      <c r="T508" s="13"/>
    </row>
    <row r="509"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>
      <c r="K510" s="13"/>
      <c r="L510" s="13"/>
      <c r="M510" s="13"/>
      <c r="N510" s="13"/>
      <c r="O510" s="13"/>
      <c r="P510" s="13"/>
      <c r="Q510" s="13"/>
      <c r="R510" s="13"/>
      <c r="S510" s="13"/>
      <c r="T510" s="13"/>
    </row>
    <row r="511"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>
      <c r="K512" s="13"/>
      <c r="L512" s="13"/>
      <c r="M512" s="13"/>
      <c r="N512" s="13"/>
      <c r="O512" s="13"/>
      <c r="P512" s="13"/>
      <c r="Q512" s="13"/>
      <c r="R512" s="13"/>
      <c r="S512" s="13"/>
      <c r="T512" s="13"/>
    </row>
    <row r="513"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>
      <c r="K514" s="13"/>
      <c r="L514" s="13"/>
      <c r="M514" s="13"/>
      <c r="N514" s="13"/>
      <c r="O514" s="13"/>
      <c r="P514" s="13"/>
      <c r="Q514" s="13"/>
      <c r="R514" s="13"/>
      <c r="S514" s="13"/>
      <c r="T514" s="13"/>
    </row>
    <row r="515"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>
      <c r="K516" s="13"/>
      <c r="L516" s="13"/>
      <c r="M516" s="13"/>
      <c r="N516" s="13"/>
      <c r="O516" s="13"/>
      <c r="P516" s="13"/>
      <c r="Q516" s="13"/>
      <c r="R516" s="13"/>
      <c r="S516" s="13"/>
      <c r="T516" s="13"/>
    </row>
    <row r="517"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>
      <c r="K518" s="13"/>
      <c r="L518" s="13"/>
      <c r="M518" s="13"/>
      <c r="N518" s="13"/>
      <c r="O518" s="13"/>
      <c r="P518" s="13"/>
      <c r="Q518" s="13"/>
      <c r="R518" s="13"/>
      <c r="S518" s="13"/>
      <c r="T518" s="13"/>
    </row>
    <row r="519"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>
      <c r="K520" s="13"/>
      <c r="L520" s="13"/>
      <c r="M520" s="13"/>
      <c r="N520" s="13"/>
      <c r="O520" s="13"/>
      <c r="P520" s="13"/>
      <c r="Q520" s="13"/>
      <c r="R520" s="13"/>
      <c r="S520" s="13"/>
      <c r="T520" s="13"/>
    </row>
    <row r="521"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>
      <c r="K522" s="13"/>
      <c r="L522" s="13"/>
      <c r="M522" s="13"/>
      <c r="N522" s="13"/>
      <c r="O522" s="13"/>
      <c r="P522" s="13"/>
      <c r="Q522" s="13"/>
      <c r="R522" s="13"/>
      <c r="S522" s="13"/>
      <c r="T522" s="13"/>
    </row>
    <row r="523"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>
      <c r="K524" s="13"/>
      <c r="L524" s="13"/>
      <c r="M524" s="13"/>
      <c r="N524" s="13"/>
      <c r="O524" s="13"/>
      <c r="P524" s="13"/>
      <c r="Q524" s="13"/>
      <c r="R524" s="13"/>
      <c r="S524" s="13"/>
      <c r="T524" s="13"/>
    </row>
    <row r="525"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>
      <c r="K526" s="13"/>
      <c r="L526" s="13"/>
      <c r="M526" s="13"/>
      <c r="N526" s="13"/>
      <c r="O526" s="13"/>
      <c r="P526" s="13"/>
      <c r="Q526" s="13"/>
      <c r="R526" s="13"/>
      <c r="S526" s="13"/>
      <c r="T526" s="13"/>
    </row>
    <row r="527"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>
      <c r="K528" s="13"/>
      <c r="L528" s="13"/>
      <c r="M528" s="13"/>
      <c r="N528" s="13"/>
      <c r="O528" s="13"/>
      <c r="P528" s="13"/>
      <c r="Q528" s="13"/>
      <c r="R528" s="13"/>
      <c r="S528" s="13"/>
      <c r="T528" s="13"/>
    </row>
    <row r="529"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>
      <c r="K530" s="13"/>
      <c r="L530" s="13"/>
      <c r="M530" s="13"/>
      <c r="N530" s="13"/>
      <c r="O530" s="13"/>
      <c r="P530" s="13"/>
      <c r="Q530" s="13"/>
      <c r="R530" s="13"/>
      <c r="S530" s="13"/>
      <c r="T530" s="13"/>
    </row>
    <row r="531"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>
      <c r="K532" s="13"/>
      <c r="L532" s="13"/>
      <c r="M532" s="13"/>
      <c r="N532" s="13"/>
      <c r="O532" s="13"/>
      <c r="P532" s="13"/>
      <c r="Q532" s="13"/>
      <c r="R532" s="13"/>
      <c r="S532" s="13"/>
      <c r="T532" s="13"/>
    </row>
    <row r="533"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>
      <c r="K534" s="13"/>
      <c r="L534" s="13"/>
      <c r="M534" s="13"/>
      <c r="N534" s="13"/>
      <c r="O534" s="13"/>
      <c r="P534" s="13"/>
      <c r="Q534" s="13"/>
      <c r="R534" s="13"/>
      <c r="S534" s="13"/>
      <c r="T534" s="13"/>
    </row>
    <row r="535"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>
      <c r="K536" s="13"/>
      <c r="L536" s="13"/>
      <c r="M536" s="13"/>
      <c r="N536" s="13"/>
      <c r="O536" s="13"/>
      <c r="P536" s="13"/>
      <c r="Q536" s="13"/>
      <c r="R536" s="13"/>
      <c r="S536" s="13"/>
      <c r="T536" s="13"/>
    </row>
    <row r="537"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>
      <c r="K538" s="13"/>
      <c r="L538" s="13"/>
      <c r="M538" s="13"/>
      <c r="N538" s="13"/>
      <c r="O538" s="13"/>
      <c r="P538" s="13"/>
      <c r="Q538" s="13"/>
      <c r="R538" s="13"/>
      <c r="S538" s="13"/>
      <c r="T538" s="13"/>
    </row>
    <row r="539"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>
      <c r="K540" s="13"/>
      <c r="L540" s="13"/>
      <c r="M540" s="13"/>
      <c r="N540" s="13"/>
      <c r="O540" s="13"/>
      <c r="P540" s="13"/>
      <c r="Q540" s="13"/>
      <c r="R540" s="13"/>
      <c r="S540" s="13"/>
      <c r="T540" s="13"/>
    </row>
    <row r="541"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>
      <c r="K542" s="13"/>
      <c r="L542" s="13"/>
      <c r="M542" s="13"/>
      <c r="N542" s="13"/>
      <c r="O542" s="13"/>
      <c r="P542" s="13"/>
      <c r="Q542" s="13"/>
      <c r="R542" s="13"/>
      <c r="S542" s="13"/>
      <c r="T542" s="13"/>
    </row>
    <row r="543"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>
      <c r="K544" s="13"/>
      <c r="L544" s="13"/>
      <c r="M544" s="13"/>
      <c r="N544" s="13"/>
      <c r="O544" s="13"/>
      <c r="P544" s="13"/>
      <c r="Q544" s="13"/>
      <c r="R544" s="13"/>
      <c r="S544" s="13"/>
      <c r="T544" s="13"/>
    </row>
    <row r="545"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>
      <c r="K546" s="13"/>
      <c r="L546" s="13"/>
      <c r="M546" s="13"/>
      <c r="N546" s="13"/>
      <c r="O546" s="13"/>
      <c r="P546" s="13"/>
      <c r="Q546" s="13"/>
      <c r="R546" s="13"/>
      <c r="S546" s="13"/>
      <c r="T546" s="13"/>
    </row>
    <row r="547"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>
      <c r="K548" s="13"/>
      <c r="L548" s="13"/>
      <c r="M548" s="13"/>
      <c r="N548" s="13"/>
      <c r="O548" s="13"/>
      <c r="P548" s="13"/>
      <c r="Q548" s="13"/>
      <c r="R548" s="13"/>
      <c r="S548" s="13"/>
      <c r="T548" s="13"/>
    </row>
    <row r="549"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>
      <c r="K550" s="13"/>
      <c r="L550" s="13"/>
      <c r="M550" s="13"/>
      <c r="N550" s="13"/>
      <c r="O550" s="13"/>
      <c r="P550" s="13"/>
      <c r="Q550" s="13"/>
      <c r="R550" s="13"/>
      <c r="S550" s="13"/>
      <c r="T550" s="13"/>
    </row>
    <row r="551"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>
      <c r="K552" s="13"/>
      <c r="L552" s="13"/>
      <c r="M552" s="13"/>
      <c r="N552" s="13"/>
      <c r="O552" s="13"/>
      <c r="P552" s="13"/>
      <c r="Q552" s="13"/>
      <c r="R552" s="13"/>
      <c r="S552" s="13"/>
      <c r="T552" s="13"/>
    </row>
    <row r="553"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>
      <c r="K554" s="13"/>
      <c r="L554" s="13"/>
      <c r="M554" s="13"/>
      <c r="N554" s="13"/>
      <c r="O554" s="13"/>
      <c r="P554" s="13"/>
      <c r="Q554" s="13"/>
      <c r="R554" s="13"/>
      <c r="S554" s="13"/>
      <c r="T554" s="13"/>
    </row>
    <row r="555"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>
      <c r="K556" s="13"/>
      <c r="L556" s="13"/>
      <c r="M556" s="13"/>
      <c r="N556" s="13"/>
      <c r="O556" s="13"/>
      <c r="P556" s="13"/>
      <c r="Q556" s="13"/>
      <c r="R556" s="13"/>
      <c r="S556" s="13"/>
      <c r="T556" s="13"/>
    </row>
    <row r="557"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>
      <c r="K558" s="13"/>
      <c r="L558" s="13"/>
      <c r="M558" s="13"/>
      <c r="N558" s="13"/>
      <c r="O558" s="13"/>
      <c r="P558" s="13"/>
      <c r="Q558" s="13"/>
      <c r="R558" s="13"/>
      <c r="S558" s="13"/>
      <c r="T558" s="13"/>
    </row>
    <row r="559"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>
      <c r="K560" s="13"/>
      <c r="L560" s="13"/>
      <c r="M560" s="13"/>
      <c r="N560" s="13"/>
      <c r="O560" s="13"/>
      <c r="P560" s="13"/>
      <c r="Q560" s="13"/>
      <c r="R560" s="13"/>
      <c r="S560" s="13"/>
      <c r="T560" s="13"/>
    </row>
    <row r="561"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>
      <c r="K562" s="13"/>
      <c r="L562" s="13"/>
      <c r="M562" s="13"/>
      <c r="N562" s="13"/>
      <c r="O562" s="13"/>
      <c r="P562" s="13"/>
      <c r="Q562" s="13"/>
      <c r="R562" s="13"/>
      <c r="S562" s="13"/>
      <c r="T562" s="13"/>
    </row>
    <row r="563"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>
      <c r="K564" s="13"/>
      <c r="L564" s="13"/>
      <c r="M564" s="13"/>
      <c r="N564" s="13"/>
      <c r="O564" s="13"/>
      <c r="P564" s="13"/>
      <c r="Q564" s="13"/>
      <c r="R564" s="13"/>
      <c r="S564" s="13"/>
      <c r="T564" s="13"/>
    </row>
    <row r="565"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>
      <c r="K566" s="13"/>
      <c r="L566" s="13"/>
      <c r="M566" s="13"/>
      <c r="N566" s="13"/>
      <c r="O566" s="13"/>
      <c r="P566" s="13"/>
      <c r="Q566" s="13"/>
      <c r="R566" s="13"/>
      <c r="S566" s="13"/>
      <c r="T566" s="13"/>
    </row>
    <row r="567"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>
      <c r="K568" s="13"/>
      <c r="L568" s="13"/>
      <c r="M568" s="13"/>
      <c r="N568" s="13"/>
      <c r="O568" s="13"/>
      <c r="P568" s="13"/>
      <c r="Q568" s="13"/>
      <c r="R568" s="13"/>
      <c r="S568" s="13"/>
      <c r="T568" s="13"/>
    </row>
    <row r="569"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>
      <c r="K570" s="13"/>
      <c r="L570" s="13"/>
      <c r="M570" s="13"/>
      <c r="N570" s="13"/>
      <c r="O570" s="13"/>
      <c r="P570" s="13"/>
      <c r="Q570" s="13"/>
      <c r="R570" s="13"/>
      <c r="S570" s="13"/>
      <c r="T570" s="13"/>
    </row>
    <row r="571"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>
      <c r="K572" s="13"/>
      <c r="L572" s="13"/>
      <c r="M572" s="13"/>
      <c r="N572" s="13"/>
      <c r="O572" s="13"/>
      <c r="P572" s="13"/>
      <c r="Q572" s="13"/>
      <c r="R572" s="13"/>
      <c r="S572" s="13"/>
      <c r="T572" s="13"/>
    </row>
    <row r="573"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>
      <c r="K574" s="13"/>
      <c r="L574" s="13"/>
      <c r="M574" s="13"/>
      <c r="N574" s="13"/>
      <c r="O574" s="13"/>
      <c r="P574" s="13"/>
      <c r="Q574" s="13"/>
      <c r="R574" s="13"/>
      <c r="S574" s="13"/>
      <c r="T574" s="13"/>
    </row>
    <row r="575"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>
      <c r="K576" s="13"/>
      <c r="L576" s="13"/>
      <c r="M576" s="13"/>
      <c r="N576" s="13"/>
      <c r="O576" s="13"/>
      <c r="P576" s="13"/>
      <c r="Q576" s="13"/>
      <c r="R576" s="13"/>
      <c r="S576" s="13"/>
      <c r="T576" s="13"/>
    </row>
    <row r="577"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>
      <c r="K578" s="13"/>
      <c r="L578" s="13"/>
      <c r="M578" s="13"/>
      <c r="N578" s="13"/>
      <c r="O578" s="13"/>
      <c r="P578" s="13"/>
      <c r="Q578" s="13"/>
      <c r="R578" s="13"/>
      <c r="S578" s="13"/>
      <c r="T578" s="13"/>
    </row>
    <row r="579"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>
      <c r="K580" s="13"/>
      <c r="L580" s="13"/>
      <c r="M580" s="13"/>
      <c r="N580" s="13"/>
      <c r="O580" s="13"/>
      <c r="P580" s="13"/>
      <c r="Q580" s="13"/>
      <c r="R580" s="13"/>
      <c r="S580" s="13"/>
      <c r="T580" s="13"/>
    </row>
    <row r="581"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>
      <c r="K582" s="13"/>
      <c r="L582" s="13"/>
      <c r="M582" s="13"/>
      <c r="N582" s="13"/>
      <c r="O582" s="13"/>
      <c r="P582" s="13"/>
      <c r="Q582" s="13"/>
      <c r="R582" s="13"/>
      <c r="S582" s="13"/>
      <c r="T582" s="13"/>
    </row>
    <row r="583"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>
      <c r="K584" s="13"/>
      <c r="L584" s="13"/>
      <c r="M584" s="13"/>
      <c r="N584" s="13"/>
      <c r="O584" s="13"/>
      <c r="P584" s="13"/>
      <c r="Q584" s="13"/>
      <c r="R584" s="13"/>
      <c r="S584" s="13"/>
      <c r="T584" s="13"/>
    </row>
    <row r="585"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>
      <c r="K586" s="13"/>
      <c r="L586" s="13"/>
      <c r="M586" s="13"/>
      <c r="N586" s="13"/>
      <c r="O586" s="13"/>
      <c r="P586" s="13"/>
      <c r="Q586" s="13"/>
      <c r="R586" s="13"/>
      <c r="S586" s="13"/>
      <c r="T586" s="13"/>
    </row>
    <row r="587"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>
      <c r="K588" s="13"/>
      <c r="L588" s="13"/>
      <c r="M588" s="13"/>
      <c r="N588" s="13"/>
      <c r="O588" s="13"/>
      <c r="P588" s="13"/>
      <c r="Q588" s="13"/>
      <c r="R588" s="13"/>
      <c r="S588" s="13"/>
      <c r="T588" s="13"/>
    </row>
    <row r="589"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>
      <c r="K590" s="13"/>
      <c r="L590" s="13"/>
      <c r="M590" s="13"/>
      <c r="N590" s="13"/>
      <c r="O590" s="13"/>
      <c r="P590" s="13"/>
      <c r="Q590" s="13"/>
      <c r="R590" s="13"/>
      <c r="S590" s="13"/>
      <c r="T590" s="13"/>
    </row>
    <row r="591"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>
      <c r="K592" s="13"/>
      <c r="L592" s="13"/>
      <c r="M592" s="13"/>
      <c r="N592" s="13"/>
      <c r="O592" s="13"/>
      <c r="P592" s="13"/>
      <c r="Q592" s="13"/>
      <c r="R592" s="13"/>
      <c r="S592" s="13"/>
      <c r="T592" s="13"/>
    </row>
    <row r="593"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>
      <c r="K594" s="13"/>
      <c r="L594" s="13"/>
      <c r="M594" s="13"/>
      <c r="N594" s="13"/>
      <c r="O594" s="13"/>
      <c r="P594" s="13"/>
      <c r="Q594" s="13"/>
      <c r="R594" s="13"/>
      <c r="S594" s="13"/>
      <c r="T594" s="13"/>
    </row>
    <row r="595"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>
      <c r="K596" s="13"/>
      <c r="L596" s="13"/>
      <c r="M596" s="13"/>
      <c r="N596" s="13"/>
      <c r="O596" s="13"/>
      <c r="P596" s="13"/>
      <c r="Q596" s="13"/>
      <c r="R596" s="13"/>
      <c r="S596" s="13"/>
      <c r="T596" s="13"/>
    </row>
    <row r="597"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>
      <c r="K598" s="13"/>
      <c r="L598" s="13"/>
      <c r="M598" s="13"/>
      <c r="N598" s="13"/>
      <c r="O598" s="13"/>
      <c r="P598" s="13"/>
      <c r="Q598" s="13"/>
      <c r="R598" s="13"/>
      <c r="S598" s="13"/>
      <c r="T598" s="13"/>
    </row>
    <row r="599"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>
      <c r="K600" s="13"/>
      <c r="L600" s="13"/>
      <c r="M600" s="13"/>
      <c r="N600" s="13"/>
      <c r="O600" s="13"/>
      <c r="P600" s="13"/>
      <c r="Q600" s="13"/>
      <c r="R600" s="13"/>
      <c r="S600" s="13"/>
      <c r="T600" s="13"/>
    </row>
    <row r="601"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>
      <c r="K602" s="13"/>
      <c r="L602" s="13"/>
      <c r="M602" s="13"/>
      <c r="N602" s="13"/>
      <c r="O602" s="13"/>
      <c r="P602" s="13"/>
      <c r="Q602" s="13"/>
      <c r="R602" s="13"/>
      <c r="S602" s="13"/>
      <c r="T602" s="13"/>
    </row>
    <row r="603"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>
      <c r="K604" s="13"/>
      <c r="L604" s="13"/>
      <c r="M604" s="13"/>
      <c r="N604" s="13"/>
      <c r="O604" s="13"/>
      <c r="P604" s="13"/>
      <c r="Q604" s="13"/>
      <c r="R604" s="13"/>
      <c r="S604" s="13"/>
      <c r="T604" s="13"/>
    </row>
    <row r="605"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>
      <c r="K606" s="13"/>
      <c r="L606" s="13"/>
      <c r="M606" s="13"/>
      <c r="N606" s="13"/>
      <c r="O606" s="13"/>
      <c r="P606" s="13"/>
      <c r="Q606" s="13"/>
      <c r="R606" s="13"/>
      <c r="S606" s="13"/>
      <c r="T606" s="13"/>
    </row>
    <row r="607"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>
      <c r="K608" s="13"/>
      <c r="L608" s="13"/>
      <c r="M608" s="13"/>
      <c r="N608" s="13"/>
      <c r="O608" s="13"/>
      <c r="P608" s="13"/>
      <c r="Q608" s="13"/>
      <c r="R608" s="13"/>
      <c r="S608" s="13"/>
      <c r="T608" s="13"/>
    </row>
    <row r="609"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>
      <c r="K610" s="13"/>
      <c r="L610" s="13"/>
      <c r="M610" s="13"/>
      <c r="N610" s="13"/>
      <c r="O610" s="13"/>
      <c r="P610" s="13"/>
      <c r="Q610" s="13"/>
      <c r="R610" s="13"/>
      <c r="S610" s="13"/>
      <c r="T610" s="13"/>
    </row>
    <row r="611"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>
      <c r="K612" s="13"/>
      <c r="L612" s="13"/>
      <c r="M612" s="13"/>
      <c r="N612" s="13"/>
      <c r="O612" s="13"/>
      <c r="P612" s="13"/>
      <c r="Q612" s="13"/>
      <c r="R612" s="13"/>
      <c r="S612" s="13"/>
      <c r="T612" s="13"/>
    </row>
    <row r="613"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>
      <c r="K614" s="13"/>
      <c r="L614" s="13"/>
      <c r="M614" s="13"/>
      <c r="N614" s="13"/>
      <c r="O614" s="13"/>
      <c r="P614" s="13"/>
      <c r="Q614" s="13"/>
      <c r="R614" s="13"/>
      <c r="S614" s="13"/>
      <c r="T614" s="13"/>
    </row>
    <row r="615"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>
      <c r="K616" s="13"/>
      <c r="L616" s="13"/>
      <c r="M616" s="13"/>
      <c r="N616" s="13"/>
      <c r="O616" s="13"/>
      <c r="P616" s="13"/>
      <c r="Q616" s="13"/>
      <c r="R616" s="13"/>
      <c r="S616" s="13"/>
      <c r="T616" s="13"/>
    </row>
    <row r="617"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>
      <c r="K618" s="13"/>
      <c r="L618" s="13"/>
      <c r="M618" s="13"/>
      <c r="N618" s="13"/>
      <c r="O618" s="13"/>
      <c r="P618" s="13"/>
      <c r="Q618" s="13"/>
      <c r="R618" s="13"/>
      <c r="S618" s="13"/>
      <c r="T618" s="13"/>
    </row>
    <row r="619"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>
      <c r="K620" s="13"/>
      <c r="L620" s="13"/>
      <c r="M620" s="13"/>
      <c r="N620" s="13"/>
      <c r="O620" s="13"/>
      <c r="P620" s="13"/>
      <c r="Q620" s="13"/>
      <c r="R620" s="13"/>
      <c r="S620" s="13"/>
      <c r="T620" s="13"/>
    </row>
    <row r="621"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>
      <c r="K622" s="13"/>
      <c r="L622" s="13"/>
      <c r="M622" s="13"/>
      <c r="N622" s="13"/>
      <c r="O622" s="13"/>
      <c r="P622" s="13"/>
      <c r="Q622" s="13"/>
      <c r="R622" s="13"/>
      <c r="S622" s="13"/>
      <c r="T622" s="13"/>
    </row>
    <row r="623"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>
      <c r="K624" s="13"/>
      <c r="L624" s="13"/>
      <c r="M624" s="13"/>
      <c r="N624" s="13"/>
      <c r="O624" s="13"/>
      <c r="P624" s="13"/>
      <c r="Q624" s="13"/>
      <c r="R624" s="13"/>
      <c r="S624" s="13"/>
      <c r="T624" s="13"/>
    </row>
    <row r="625"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>
      <c r="K626" s="13"/>
      <c r="L626" s="13"/>
      <c r="M626" s="13"/>
      <c r="N626" s="13"/>
      <c r="O626" s="13"/>
      <c r="P626" s="13"/>
      <c r="Q626" s="13"/>
      <c r="R626" s="13"/>
      <c r="S626" s="13"/>
      <c r="T626" s="13"/>
    </row>
    <row r="627"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>
      <c r="K628" s="13"/>
      <c r="L628" s="13"/>
      <c r="M628" s="13"/>
      <c r="N628" s="13"/>
      <c r="O628" s="13"/>
      <c r="P628" s="13"/>
      <c r="Q628" s="13"/>
      <c r="R628" s="13"/>
      <c r="S628" s="13"/>
      <c r="T628" s="13"/>
    </row>
    <row r="629"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>
      <c r="K630" s="13"/>
      <c r="L630" s="13"/>
      <c r="M630" s="13"/>
      <c r="N630" s="13"/>
      <c r="O630" s="13"/>
      <c r="P630" s="13"/>
      <c r="Q630" s="13"/>
      <c r="R630" s="13"/>
      <c r="S630" s="13"/>
      <c r="T630" s="13"/>
    </row>
    <row r="631"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>
      <c r="K632" s="13"/>
      <c r="L632" s="13"/>
      <c r="M632" s="13"/>
      <c r="N632" s="13"/>
      <c r="O632" s="13"/>
      <c r="P632" s="13"/>
      <c r="Q632" s="13"/>
      <c r="R632" s="13"/>
      <c r="S632" s="13"/>
      <c r="T632" s="13"/>
    </row>
    <row r="633"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>
      <c r="K634" s="13"/>
      <c r="L634" s="13"/>
      <c r="M634" s="13"/>
      <c r="N634" s="13"/>
      <c r="O634" s="13"/>
      <c r="P634" s="13"/>
      <c r="Q634" s="13"/>
      <c r="R634" s="13"/>
      <c r="S634" s="13"/>
      <c r="T634" s="13"/>
    </row>
    <row r="635"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>
      <c r="K636" s="13"/>
      <c r="L636" s="13"/>
      <c r="M636" s="13"/>
      <c r="N636" s="13"/>
      <c r="O636" s="13"/>
      <c r="P636" s="13"/>
      <c r="Q636" s="13"/>
      <c r="R636" s="13"/>
      <c r="S636" s="13"/>
      <c r="T636" s="13"/>
    </row>
    <row r="637"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>
      <c r="K638" s="13"/>
      <c r="L638" s="13"/>
      <c r="M638" s="13"/>
      <c r="N638" s="13"/>
      <c r="O638" s="13"/>
      <c r="P638" s="13"/>
      <c r="Q638" s="13"/>
      <c r="R638" s="13"/>
      <c r="S638" s="13"/>
      <c r="T638" s="13"/>
    </row>
    <row r="639"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>
      <c r="K640" s="13"/>
      <c r="L640" s="13"/>
      <c r="M640" s="13"/>
      <c r="N640" s="13"/>
      <c r="O640" s="13"/>
      <c r="P640" s="13"/>
      <c r="Q640" s="13"/>
      <c r="R640" s="13"/>
      <c r="S640" s="13"/>
      <c r="T640" s="13"/>
    </row>
    <row r="641"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>
      <c r="K642" s="13"/>
      <c r="L642" s="13"/>
      <c r="M642" s="13"/>
      <c r="N642" s="13"/>
      <c r="O642" s="13"/>
      <c r="P642" s="13"/>
      <c r="Q642" s="13"/>
      <c r="R642" s="13"/>
      <c r="S642" s="13"/>
      <c r="T642" s="13"/>
    </row>
    <row r="643"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>
      <c r="K644" s="13"/>
      <c r="L644" s="13"/>
      <c r="M644" s="13"/>
      <c r="N644" s="13"/>
      <c r="O644" s="13"/>
      <c r="P644" s="13"/>
      <c r="Q644" s="13"/>
      <c r="R644" s="13"/>
      <c r="S644" s="13"/>
      <c r="T644" s="13"/>
    </row>
    <row r="645"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>
      <c r="K646" s="13"/>
      <c r="L646" s="13"/>
      <c r="M646" s="13"/>
      <c r="N646" s="13"/>
      <c r="O646" s="13"/>
      <c r="P646" s="13"/>
      <c r="Q646" s="13"/>
      <c r="R646" s="13"/>
      <c r="S646" s="13"/>
      <c r="T646" s="13"/>
    </row>
    <row r="647"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>
      <c r="K648" s="13"/>
      <c r="L648" s="13"/>
      <c r="M648" s="13"/>
      <c r="N648" s="13"/>
      <c r="O648" s="13"/>
      <c r="P648" s="13"/>
      <c r="Q648" s="13"/>
      <c r="R648" s="13"/>
      <c r="S648" s="13"/>
      <c r="T648" s="13"/>
    </row>
    <row r="649"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>
      <c r="K650" s="13"/>
      <c r="L650" s="13"/>
      <c r="M650" s="13"/>
      <c r="N650" s="13"/>
      <c r="O650" s="13"/>
      <c r="P650" s="13"/>
      <c r="Q650" s="13"/>
      <c r="R650" s="13"/>
      <c r="S650" s="13"/>
      <c r="T650" s="13"/>
    </row>
    <row r="651"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>
      <c r="K652" s="13"/>
      <c r="L652" s="13"/>
      <c r="M652" s="13"/>
      <c r="N652" s="13"/>
      <c r="O652" s="13"/>
      <c r="P652" s="13"/>
      <c r="Q652" s="13"/>
      <c r="R652" s="13"/>
      <c r="S652" s="13"/>
      <c r="T652" s="13"/>
    </row>
    <row r="653"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>
      <c r="K654" s="13"/>
      <c r="L654" s="13"/>
      <c r="M654" s="13"/>
      <c r="N654" s="13"/>
      <c r="O654" s="13"/>
      <c r="P654" s="13"/>
      <c r="Q654" s="13"/>
      <c r="R654" s="13"/>
      <c r="S654" s="13"/>
      <c r="T654" s="13"/>
    </row>
    <row r="655"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>
      <c r="K656" s="13"/>
      <c r="L656" s="13"/>
      <c r="M656" s="13"/>
      <c r="N656" s="13"/>
      <c r="O656" s="13"/>
      <c r="P656" s="13"/>
      <c r="Q656" s="13"/>
      <c r="R656" s="13"/>
      <c r="S656" s="13"/>
      <c r="T656" s="13"/>
    </row>
    <row r="657"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>
      <c r="K658" s="13"/>
      <c r="L658" s="13"/>
      <c r="M658" s="13"/>
      <c r="N658" s="13"/>
      <c r="O658" s="13"/>
      <c r="P658" s="13"/>
      <c r="Q658" s="13"/>
      <c r="R658" s="13"/>
      <c r="S658" s="13"/>
      <c r="T658" s="13"/>
    </row>
    <row r="659"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>
      <c r="K660" s="13"/>
      <c r="L660" s="13"/>
      <c r="M660" s="13"/>
      <c r="N660" s="13"/>
      <c r="O660" s="13"/>
      <c r="P660" s="13"/>
      <c r="Q660" s="13"/>
      <c r="R660" s="13"/>
      <c r="S660" s="13"/>
      <c r="T660" s="13"/>
    </row>
    <row r="661"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>
      <c r="K662" s="13"/>
      <c r="L662" s="13"/>
      <c r="M662" s="13"/>
      <c r="N662" s="13"/>
      <c r="O662" s="13"/>
      <c r="P662" s="13"/>
      <c r="Q662" s="13"/>
      <c r="R662" s="13"/>
      <c r="S662" s="13"/>
      <c r="T662" s="13"/>
    </row>
    <row r="663"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>
      <c r="K664" s="13"/>
      <c r="L664" s="13"/>
      <c r="M664" s="13"/>
      <c r="N664" s="13"/>
      <c r="O664" s="13"/>
      <c r="P664" s="13"/>
      <c r="Q664" s="13"/>
      <c r="R664" s="13"/>
      <c r="S664" s="13"/>
      <c r="T664" s="13"/>
    </row>
    <row r="665"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>
      <c r="K666" s="13"/>
      <c r="L666" s="13"/>
      <c r="M666" s="13"/>
      <c r="N666" s="13"/>
      <c r="O666" s="13"/>
      <c r="P666" s="13"/>
      <c r="Q666" s="13"/>
      <c r="R666" s="13"/>
      <c r="S666" s="13"/>
      <c r="T666" s="13"/>
    </row>
    <row r="667"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>
      <c r="K676" s="13"/>
      <c r="L676" s="13"/>
      <c r="M676" s="13"/>
      <c r="N676" s="13"/>
      <c r="O676" s="13"/>
      <c r="P676" s="13"/>
      <c r="Q676" s="13"/>
      <c r="R676" s="13"/>
      <c r="S676" s="13"/>
      <c r="T676" s="13"/>
    </row>
    <row r="677"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>
      <c r="K678" s="13"/>
      <c r="L678" s="13"/>
      <c r="M678" s="13"/>
      <c r="N678" s="13"/>
      <c r="O678" s="13"/>
      <c r="P678" s="13"/>
      <c r="Q678" s="13"/>
      <c r="R678" s="13"/>
      <c r="S678" s="13"/>
      <c r="T678" s="13"/>
    </row>
    <row r="679"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>
      <c r="K680" s="13"/>
      <c r="L680" s="13"/>
      <c r="M680" s="13"/>
      <c r="N680" s="13"/>
      <c r="O680" s="13"/>
      <c r="P680" s="13"/>
      <c r="Q680" s="13"/>
      <c r="R680" s="13"/>
      <c r="S680" s="13"/>
      <c r="T680" s="13"/>
    </row>
    <row r="681"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>
      <c r="K682" s="13"/>
      <c r="L682" s="13"/>
      <c r="M682" s="13"/>
      <c r="N682" s="13"/>
      <c r="O682" s="13"/>
      <c r="P682" s="13"/>
      <c r="Q682" s="13"/>
      <c r="R682" s="13"/>
      <c r="S682" s="13"/>
      <c r="T682" s="13"/>
    </row>
    <row r="683"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>
      <c r="K684" s="13"/>
      <c r="L684" s="13"/>
      <c r="M684" s="13"/>
      <c r="N684" s="13"/>
      <c r="O684" s="13"/>
      <c r="P684" s="13"/>
      <c r="Q684" s="13"/>
      <c r="R684" s="13"/>
      <c r="S684" s="13"/>
      <c r="T684" s="13"/>
    </row>
    <row r="685"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>
      <c r="K686" s="13"/>
      <c r="L686" s="13"/>
      <c r="M686" s="13"/>
      <c r="N686" s="13"/>
      <c r="O686" s="13"/>
      <c r="P686" s="13"/>
      <c r="Q686" s="13"/>
      <c r="R686" s="13"/>
      <c r="S686" s="13"/>
      <c r="T686" s="13"/>
    </row>
    <row r="687"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>
      <c r="K688" s="13"/>
      <c r="L688" s="13"/>
      <c r="M688" s="13"/>
      <c r="N688" s="13"/>
      <c r="O688" s="13"/>
      <c r="P688" s="13"/>
      <c r="Q688" s="13"/>
      <c r="R688" s="13"/>
      <c r="S688" s="13"/>
      <c r="T688" s="13"/>
    </row>
    <row r="689"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>
      <c r="K690" s="13"/>
      <c r="L690" s="13"/>
      <c r="M690" s="13"/>
      <c r="N690" s="13"/>
      <c r="O690" s="13"/>
      <c r="P690" s="13"/>
      <c r="Q690" s="13"/>
      <c r="R690" s="13"/>
      <c r="S690" s="13"/>
      <c r="T690" s="13"/>
    </row>
    <row r="691"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>
      <c r="K692" s="13"/>
      <c r="L692" s="13"/>
      <c r="M692" s="13"/>
      <c r="N692" s="13"/>
      <c r="O692" s="13"/>
      <c r="P692" s="13"/>
      <c r="Q692" s="13"/>
      <c r="R692" s="13"/>
      <c r="S692" s="13"/>
      <c r="T692" s="13"/>
    </row>
    <row r="693"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>
      <c r="K694" s="13"/>
      <c r="L694" s="13"/>
      <c r="M694" s="13"/>
      <c r="N694" s="13"/>
      <c r="O694" s="13"/>
      <c r="P694" s="13"/>
      <c r="Q694" s="13"/>
      <c r="R694" s="13"/>
      <c r="S694" s="13"/>
      <c r="T694" s="13"/>
    </row>
    <row r="695"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>
      <c r="K696" s="13"/>
      <c r="L696" s="13"/>
      <c r="M696" s="13"/>
      <c r="N696" s="13"/>
      <c r="O696" s="13"/>
      <c r="P696" s="13"/>
      <c r="Q696" s="13"/>
      <c r="R696" s="13"/>
      <c r="S696" s="13"/>
      <c r="T696" s="13"/>
    </row>
    <row r="697"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>
      <c r="K698" s="13"/>
      <c r="L698" s="13"/>
      <c r="M698" s="13"/>
      <c r="N698" s="13"/>
      <c r="O698" s="13"/>
      <c r="P698" s="13"/>
      <c r="Q698" s="13"/>
      <c r="R698" s="13"/>
      <c r="S698" s="13"/>
      <c r="T698" s="13"/>
    </row>
    <row r="699"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>
      <c r="K700" s="13"/>
      <c r="L700" s="13"/>
      <c r="M700" s="13"/>
      <c r="N700" s="13"/>
      <c r="O700" s="13"/>
      <c r="P700" s="13"/>
      <c r="Q700" s="13"/>
      <c r="R700" s="13"/>
      <c r="S700" s="13"/>
      <c r="T700" s="13"/>
    </row>
    <row r="701"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>
      <c r="K702" s="13"/>
      <c r="L702" s="13"/>
      <c r="M702" s="13"/>
      <c r="N702" s="13"/>
      <c r="O702" s="13"/>
      <c r="P702" s="13"/>
      <c r="Q702" s="13"/>
      <c r="R702" s="13"/>
      <c r="S702" s="13"/>
      <c r="T702" s="13"/>
    </row>
    <row r="703"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>
      <c r="K704" s="13"/>
      <c r="L704" s="13"/>
      <c r="M704" s="13"/>
      <c r="N704" s="13"/>
      <c r="O704" s="13"/>
      <c r="P704" s="13"/>
      <c r="Q704" s="13"/>
      <c r="R704" s="13"/>
      <c r="S704" s="13"/>
      <c r="T704" s="13"/>
    </row>
    <row r="705"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>
      <c r="K706" s="13"/>
      <c r="L706" s="13"/>
      <c r="M706" s="13"/>
      <c r="N706" s="13"/>
      <c r="O706" s="13"/>
      <c r="P706" s="13"/>
      <c r="Q706" s="13"/>
      <c r="R706" s="13"/>
      <c r="S706" s="13"/>
      <c r="T706" s="13"/>
    </row>
    <row r="707"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>
      <c r="K708" s="13"/>
      <c r="L708" s="13"/>
      <c r="M708" s="13"/>
      <c r="N708" s="13"/>
      <c r="O708" s="13"/>
      <c r="P708" s="13"/>
      <c r="Q708" s="13"/>
      <c r="R708" s="13"/>
      <c r="S708" s="13"/>
      <c r="T708" s="13"/>
    </row>
    <row r="709"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>
      <c r="K710" s="13"/>
      <c r="L710" s="13"/>
      <c r="M710" s="13"/>
      <c r="N710" s="13"/>
      <c r="O710" s="13"/>
      <c r="P710" s="13"/>
      <c r="Q710" s="13"/>
      <c r="R710" s="13"/>
      <c r="S710" s="13"/>
      <c r="T710" s="13"/>
    </row>
    <row r="711"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>
      <c r="K712" s="13"/>
      <c r="L712" s="13"/>
      <c r="M712" s="13"/>
      <c r="N712" s="13"/>
      <c r="O712" s="13"/>
      <c r="P712" s="13"/>
      <c r="Q712" s="13"/>
      <c r="R712" s="13"/>
      <c r="S712" s="13"/>
      <c r="T712" s="13"/>
    </row>
    <row r="713"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>
      <c r="K714" s="13"/>
      <c r="L714" s="13"/>
      <c r="M714" s="13"/>
      <c r="N714" s="13"/>
      <c r="O714" s="13"/>
      <c r="P714" s="13"/>
      <c r="Q714" s="13"/>
      <c r="R714" s="13"/>
      <c r="S714" s="13"/>
      <c r="T714" s="13"/>
    </row>
    <row r="715"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>
      <c r="K716" s="13"/>
      <c r="L716" s="13"/>
      <c r="M716" s="13"/>
      <c r="N716" s="13"/>
      <c r="O716" s="13"/>
      <c r="P716" s="13"/>
      <c r="Q716" s="13"/>
      <c r="R716" s="13"/>
      <c r="S716" s="13"/>
      <c r="T716" s="13"/>
    </row>
    <row r="717"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>
      <c r="K718" s="13"/>
      <c r="L718" s="13"/>
      <c r="M718" s="13"/>
      <c r="N718" s="13"/>
      <c r="O718" s="13"/>
      <c r="P718" s="13"/>
      <c r="Q718" s="13"/>
      <c r="R718" s="13"/>
      <c r="S718" s="13"/>
      <c r="T718" s="13"/>
    </row>
    <row r="719"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>
      <c r="K720" s="13"/>
      <c r="L720" s="13"/>
      <c r="M720" s="13"/>
      <c r="N720" s="13"/>
      <c r="O720" s="13"/>
      <c r="P720" s="13"/>
      <c r="Q720" s="13"/>
      <c r="R720" s="13"/>
      <c r="S720" s="13"/>
      <c r="T720" s="13"/>
    </row>
    <row r="721"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>
      <c r="K722" s="13"/>
      <c r="L722" s="13"/>
      <c r="M722" s="13"/>
      <c r="N722" s="13"/>
      <c r="O722" s="13"/>
      <c r="P722" s="13"/>
      <c r="Q722" s="13"/>
      <c r="R722" s="13"/>
      <c r="S722" s="13"/>
      <c r="T722" s="13"/>
    </row>
    <row r="723"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>
      <c r="K724" s="13"/>
      <c r="L724" s="13"/>
      <c r="M724" s="13"/>
      <c r="N724" s="13"/>
      <c r="O724" s="13"/>
      <c r="P724" s="13"/>
      <c r="Q724" s="13"/>
      <c r="R724" s="13"/>
      <c r="S724" s="13"/>
      <c r="T724" s="13"/>
    </row>
    <row r="725"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>
      <c r="K726" s="13"/>
      <c r="L726" s="13"/>
      <c r="M726" s="13"/>
      <c r="N726" s="13"/>
      <c r="O726" s="13"/>
      <c r="P726" s="13"/>
      <c r="Q726" s="13"/>
      <c r="R726" s="13"/>
      <c r="S726" s="13"/>
      <c r="T726" s="13"/>
    </row>
    <row r="727"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>
      <c r="K728" s="13"/>
      <c r="L728" s="13"/>
      <c r="M728" s="13"/>
      <c r="N728" s="13"/>
      <c r="O728" s="13"/>
      <c r="P728" s="13"/>
      <c r="Q728" s="13"/>
      <c r="R728" s="13"/>
      <c r="S728" s="13"/>
      <c r="T728" s="13"/>
    </row>
    <row r="729"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>
      <c r="K730" s="13"/>
      <c r="L730" s="13"/>
      <c r="M730" s="13"/>
      <c r="N730" s="13"/>
      <c r="O730" s="13"/>
      <c r="P730" s="13"/>
      <c r="Q730" s="13"/>
      <c r="R730" s="13"/>
      <c r="S730" s="13"/>
      <c r="T730" s="13"/>
    </row>
    <row r="731"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>
      <c r="K732" s="13"/>
      <c r="L732" s="13"/>
      <c r="M732" s="13"/>
      <c r="N732" s="13"/>
      <c r="O732" s="13"/>
      <c r="P732" s="13"/>
      <c r="Q732" s="13"/>
      <c r="R732" s="13"/>
      <c r="S732" s="13"/>
      <c r="T732" s="13"/>
    </row>
    <row r="733"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>
      <c r="K734" s="13"/>
      <c r="L734" s="13"/>
      <c r="M734" s="13"/>
      <c r="N734" s="13"/>
      <c r="O734" s="13"/>
      <c r="P734" s="13"/>
      <c r="Q734" s="13"/>
      <c r="R734" s="13"/>
      <c r="S734" s="13"/>
      <c r="T734" s="13"/>
    </row>
    <row r="735"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>
      <c r="K736" s="13"/>
      <c r="L736" s="13"/>
      <c r="M736" s="13"/>
      <c r="N736" s="13"/>
      <c r="O736" s="13"/>
      <c r="P736" s="13"/>
      <c r="Q736" s="13"/>
      <c r="R736" s="13"/>
      <c r="S736" s="13"/>
      <c r="T736" s="13"/>
    </row>
    <row r="737"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>
      <c r="K738" s="13"/>
      <c r="L738" s="13"/>
      <c r="M738" s="13"/>
      <c r="N738" s="13"/>
      <c r="O738" s="13"/>
      <c r="P738" s="13"/>
      <c r="Q738" s="13"/>
      <c r="R738" s="13"/>
      <c r="S738" s="13"/>
      <c r="T738" s="13"/>
    </row>
    <row r="739"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>
      <c r="K740" s="13"/>
      <c r="L740" s="13"/>
      <c r="M740" s="13"/>
      <c r="N740" s="13"/>
      <c r="O740" s="13"/>
      <c r="P740" s="13"/>
      <c r="Q740" s="13"/>
      <c r="R740" s="13"/>
      <c r="S740" s="13"/>
      <c r="T740" s="13"/>
    </row>
    <row r="741"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>
      <c r="K742" s="13"/>
      <c r="L742" s="13"/>
      <c r="M742" s="13"/>
      <c r="N742" s="13"/>
      <c r="O742" s="13"/>
      <c r="P742" s="13"/>
      <c r="Q742" s="13"/>
      <c r="R742" s="13"/>
      <c r="S742" s="13"/>
      <c r="T742" s="13"/>
    </row>
    <row r="743"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>
      <c r="K744" s="13"/>
      <c r="L744" s="13"/>
      <c r="M744" s="13"/>
      <c r="N744" s="13"/>
      <c r="O744" s="13"/>
      <c r="P744" s="13"/>
      <c r="Q744" s="13"/>
      <c r="R744" s="13"/>
      <c r="S744" s="13"/>
      <c r="T744" s="13"/>
    </row>
    <row r="745"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>
      <c r="K746" s="13"/>
      <c r="L746" s="13"/>
      <c r="M746" s="13"/>
      <c r="N746" s="13"/>
      <c r="O746" s="13"/>
      <c r="P746" s="13"/>
      <c r="Q746" s="13"/>
      <c r="R746" s="13"/>
      <c r="S746" s="13"/>
      <c r="T746" s="13"/>
    </row>
    <row r="747"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>
      <c r="K748" s="13"/>
      <c r="L748" s="13"/>
      <c r="M748" s="13"/>
      <c r="N748" s="13"/>
      <c r="O748" s="13"/>
      <c r="P748" s="13"/>
      <c r="Q748" s="13"/>
      <c r="R748" s="13"/>
      <c r="S748" s="13"/>
      <c r="T748" s="13"/>
    </row>
    <row r="749"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>
      <c r="K750" s="13"/>
      <c r="L750" s="13"/>
      <c r="M750" s="13"/>
      <c r="N750" s="13"/>
      <c r="O750" s="13"/>
      <c r="P750" s="13"/>
      <c r="Q750" s="13"/>
      <c r="R750" s="13"/>
      <c r="S750" s="13"/>
      <c r="T750" s="13"/>
    </row>
    <row r="751"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>
      <c r="K752" s="13"/>
      <c r="L752" s="13"/>
      <c r="M752" s="13"/>
      <c r="N752" s="13"/>
      <c r="O752" s="13"/>
      <c r="P752" s="13"/>
      <c r="Q752" s="13"/>
      <c r="R752" s="13"/>
      <c r="S752" s="13"/>
      <c r="T752" s="13"/>
    </row>
    <row r="753"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>
      <c r="K754" s="13"/>
      <c r="L754" s="13"/>
      <c r="M754" s="13"/>
      <c r="N754" s="13"/>
      <c r="O754" s="13"/>
      <c r="P754" s="13"/>
      <c r="Q754" s="13"/>
      <c r="R754" s="13"/>
      <c r="S754" s="13"/>
      <c r="T754" s="13"/>
    </row>
    <row r="755"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>
      <c r="K756" s="13"/>
      <c r="L756" s="13"/>
      <c r="M756" s="13"/>
      <c r="N756" s="13"/>
      <c r="O756" s="13"/>
      <c r="P756" s="13"/>
      <c r="Q756" s="13"/>
      <c r="R756" s="13"/>
      <c r="S756" s="13"/>
      <c r="T756" s="13"/>
    </row>
    <row r="757"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>
      <c r="K758" s="13"/>
      <c r="L758" s="13"/>
      <c r="M758" s="13"/>
      <c r="N758" s="13"/>
      <c r="O758" s="13"/>
      <c r="P758" s="13"/>
      <c r="Q758" s="13"/>
      <c r="R758" s="13"/>
      <c r="S758" s="13"/>
      <c r="T758" s="13"/>
    </row>
    <row r="759"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>
      <c r="K760" s="13"/>
      <c r="L760" s="13"/>
      <c r="M760" s="13"/>
      <c r="N760" s="13"/>
      <c r="O760" s="13"/>
      <c r="P760" s="13"/>
      <c r="Q760" s="13"/>
      <c r="R760" s="13"/>
      <c r="S760" s="13"/>
      <c r="T760" s="13"/>
    </row>
    <row r="761"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>
      <c r="K762" s="13"/>
      <c r="L762" s="13"/>
      <c r="M762" s="13"/>
      <c r="N762" s="13"/>
      <c r="O762" s="13"/>
      <c r="P762" s="13"/>
      <c r="Q762" s="13"/>
      <c r="R762" s="13"/>
      <c r="S762" s="13"/>
      <c r="T762" s="13"/>
    </row>
    <row r="763"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>
      <c r="K764" s="13"/>
      <c r="L764" s="13"/>
      <c r="M764" s="13"/>
      <c r="N764" s="13"/>
      <c r="O764" s="13"/>
      <c r="P764" s="13"/>
      <c r="Q764" s="13"/>
      <c r="R764" s="13"/>
      <c r="S764" s="13"/>
      <c r="T764" s="13"/>
    </row>
    <row r="765"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>
      <c r="K766" s="13"/>
      <c r="L766" s="13"/>
      <c r="M766" s="13"/>
      <c r="N766" s="13"/>
      <c r="O766" s="13"/>
      <c r="P766" s="13"/>
      <c r="Q766" s="13"/>
      <c r="R766" s="13"/>
      <c r="S766" s="13"/>
      <c r="T766" s="13"/>
    </row>
    <row r="767"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>
      <c r="K768" s="13"/>
      <c r="L768" s="13"/>
      <c r="M768" s="13"/>
      <c r="N768" s="13"/>
      <c r="O768" s="13"/>
      <c r="P768" s="13"/>
      <c r="Q768" s="13"/>
      <c r="R768" s="13"/>
      <c r="S768" s="13"/>
      <c r="T768" s="13"/>
    </row>
    <row r="769"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>
      <c r="K770" s="13"/>
      <c r="L770" s="13"/>
      <c r="M770" s="13"/>
      <c r="N770" s="13"/>
      <c r="O770" s="13"/>
      <c r="P770" s="13"/>
      <c r="Q770" s="13"/>
      <c r="R770" s="13"/>
      <c r="S770" s="13"/>
      <c r="T770" s="13"/>
    </row>
    <row r="771"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>
      <c r="K772" s="13"/>
      <c r="L772" s="13"/>
      <c r="M772" s="13"/>
      <c r="N772" s="13"/>
      <c r="O772" s="13"/>
      <c r="P772" s="13"/>
      <c r="Q772" s="13"/>
      <c r="R772" s="13"/>
      <c r="S772" s="13"/>
      <c r="T772" s="13"/>
    </row>
    <row r="773"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>
      <c r="K774" s="13"/>
      <c r="L774" s="13"/>
      <c r="M774" s="13"/>
      <c r="N774" s="13"/>
      <c r="O774" s="13"/>
      <c r="P774" s="13"/>
      <c r="Q774" s="13"/>
      <c r="R774" s="13"/>
      <c r="S774" s="13"/>
      <c r="T774" s="13"/>
    </row>
    <row r="775"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>
      <c r="K776" s="13"/>
      <c r="L776" s="13"/>
      <c r="M776" s="13"/>
      <c r="N776" s="13"/>
      <c r="O776" s="13"/>
      <c r="P776" s="13"/>
      <c r="Q776" s="13"/>
      <c r="R776" s="13"/>
      <c r="S776" s="13"/>
      <c r="T776" s="13"/>
    </row>
    <row r="777"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>
      <c r="K778" s="13"/>
      <c r="L778" s="13"/>
      <c r="M778" s="13"/>
      <c r="N778" s="13"/>
      <c r="O778" s="13"/>
      <c r="P778" s="13"/>
      <c r="Q778" s="13"/>
      <c r="R778" s="13"/>
      <c r="S778" s="13"/>
      <c r="T778" s="13"/>
    </row>
    <row r="779"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>
      <c r="K780" s="13"/>
      <c r="L780" s="13"/>
      <c r="M780" s="13"/>
      <c r="N780" s="13"/>
      <c r="O780" s="13"/>
      <c r="P780" s="13"/>
      <c r="Q780" s="13"/>
      <c r="R780" s="13"/>
      <c r="S780" s="13"/>
      <c r="T780" s="13"/>
    </row>
    <row r="781"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>
      <c r="K782" s="13"/>
      <c r="L782" s="13"/>
      <c r="M782" s="13"/>
      <c r="N782" s="13"/>
      <c r="O782" s="13"/>
      <c r="P782" s="13"/>
      <c r="Q782" s="13"/>
      <c r="R782" s="13"/>
      <c r="S782" s="13"/>
      <c r="T782" s="13"/>
    </row>
    <row r="783"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>
      <c r="K784" s="13"/>
      <c r="L784" s="13"/>
      <c r="M784" s="13"/>
      <c r="N784" s="13"/>
      <c r="O784" s="13"/>
      <c r="P784" s="13"/>
      <c r="Q784" s="13"/>
      <c r="R784" s="13"/>
      <c r="S784" s="13"/>
      <c r="T784" s="13"/>
    </row>
    <row r="785"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>
      <c r="K786" s="13"/>
      <c r="L786" s="13"/>
      <c r="M786" s="13"/>
      <c r="N786" s="13"/>
      <c r="O786" s="13"/>
      <c r="P786" s="13"/>
      <c r="Q786" s="13"/>
      <c r="R786" s="13"/>
      <c r="S786" s="13"/>
      <c r="T786" s="13"/>
    </row>
    <row r="787"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>
      <c r="K788" s="13"/>
      <c r="L788" s="13"/>
      <c r="M788" s="13"/>
      <c r="N788" s="13"/>
      <c r="O788" s="13"/>
      <c r="P788" s="13"/>
      <c r="Q788" s="13"/>
      <c r="R788" s="13"/>
      <c r="S788" s="13"/>
      <c r="T788" s="13"/>
    </row>
    <row r="789"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>
      <c r="K790" s="13"/>
      <c r="L790" s="13"/>
      <c r="M790" s="13"/>
      <c r="N790" s="13"/>
      <c r="O790" s="13"/>
      <c r="P790" s="13"/>
      <c r="Q790" s="13"/>
      <c r="R790" s="13"/>
      <c r="S790" s="13"/>
      <c r="T790" s="13"/>
    </row>
    <row r="791"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>
      <c r="K792" s="13"/>
      <c r="L792" s="13"/>
      <c r="M792" s="13"/>
      <c r="N792" s="13"/>
      <c r="O792" s="13"/>
      <c r="P792" s="13"/>
      <c r="Q792" s="13"/>
      <c r="R792" s="13"/>
      <c r="S792" s="13"/>
      <c r="T792" s="13"/>
    </row>
    <row r="793"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>
      <c r="K794" s="13"/>
      <c r="L794" s="13"/>
      <c r="M794" s="13"/>
      <c r="N794" s="13"/>
      <c r="O794" s="13"/>
      <c r="P794" s="13"/>
      <c r="Q794" s="13"/>
      <c r="R794" s="13"/>
      <c r="S794" s="13"/>
      <c r="T794" s="13"/>
    </row>
    <row r="795"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>
      <c r="K796" s="13"/>
      <c r="L796" s="13"/>
      <c r="M796" s="13"/>
      <c r="N796" s="13"/>
      <c r="O796" s="13"/>
      <c r="P796" s="13"/>
      <c r="Q796" s="13"/>
      <c r="R796" s="13"/>
      <c r="S796" s="13"/>
      <c r="T796" s="13"/>
    </row>
    <row r="797"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>
      <c r="K798" s="13"/>
      <c r="L798" s="13"/>
      <c r="M798" s="13"/>
      <c r="N798" s="13"/>
      <c r="O798" s="13"/>
      <c r="P798" s="13"/>
      <c r="Q798" s="13"/>
      <c r="R798" s="13"/>
      <c r="S798" s="13"/>
      <c r="T798" s="13"/>
    </row>
    <row r="799"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>
      <c r="K800" s="13"/>
      <c r="L800" s="13"/>
      <c r="M800" s="13"/>
      <c r="N800" s="13"/>
      <c r="O800" s="13"/>
      <c r="P800" s="13"/>
      <c r="Q800" s="13"/>
      <c r="R800" s="13"/>
      <c r="S800" s="13"/>
      <c r="T800" s="13"/>
    </row>
    <row r="801"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>
      <c r="K802" s="13"/>
      <c r="L802" s="13"/>
      <c r="M802" s="13"/>
      <c r="N802" s="13"/>
      <c r="O802" s="13"/>
      <c r="P802" s="13"/>
      <c r="Q802" s="13"/>
      <c r="R802" s="13"/>
      <c r="S802" s="13"/>
      <c r="T802" s="13"/>
    </row>
    <row r="803"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>
      <c r="K804" s="13"/>
      <c r="L804" s="13"/>
      <c r="M804" s="13"/>
      <c r="N804" s="13"/>
      <c r="O804" s="13"/>
      <c r="P804" s="13"/>
      <c r="Q804" s="13"/>
      <c r="R804" s="13"/>
      <c r="S804" s="13"/>
      <c r="T804" s="13"/>
    </row>
    <row r="805"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>
      <c r="K806" s="13"/>
      <c r="L806" s="13"/>
      <c r="M806" s="13"/>
      <c r="N806" s="13"/>
      <c r="O806" s="13"/>
      <c r="P806" s="13"/>
      <c r="Q806" s="13"/>
      <c r="R806" s="13"/>
      <c r="S806" s="13"/>
      <c r="T806" s="13"/>
    </row>
    <row r="807"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>
      <c r="K808" s="13"/>
      <c r="L808" s="13"/>
      <c r="M808" s="13"/>
      <c r="N808" s="13"/>
      <c r="O808" s="13"/>
      <c r="P808" s="13"/>
      <c r="Q808" s="13"/>
      <c r="R808" s="13"/>
      <c r="S808" s="13"/>
      <c r="T808" s="13"/>
    </row>
    <row r="809"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>
      <c r="K810" s="13"/>
      <c r="L810" s="13"/>
      <c r="M810" s="13"/>
      <c r="N810" s="13"/>
      <c r="O810" s="13"/>
      <c r="P810" s="13"/>
      <c r="Q810" s="13"/>
      <c r="R810" s="13"/>
      <c r="S810" s="13"/>
      <c r="T810" s="13"/>
    </row>
    <row r="811"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>
      <c r="K812" s="13"/>
      <c r="L812" s="13"/>
      <c r="M812" s="13"/>
      <c r="N812" s="13"/>
      <c r="O812" s="13"/>
      <c r="P812" s="13"/>
      <c r="Q812" s="13"/>
      <c r="R812" s="13"/>
      <c r="S812" s="13"/>
      <c r="T812" s="13"/>
    </row>
    <row r="813"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>
      <c r="K814" s="13"/>
      <c r="L814" s="13"/>
      <c r="M814" s="13"/>
      <c r="N814" s="13"/>
      <c r="O814" s="13"/>
      <c r="P814" s="13"/>
      <c r="Q814" s="13"/>
      <c r="R814" s="13"/>
      <c r="S814" s="13"/>
      <c r="T814" s="13"/>
    </row>
    <row r="815"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>
      <c r="K816" s="13"/>
      <c r="L816" s="13"/>
      <c r="M816" s="13"/>
      <c r="N816" s="13"/>
      <c r="O816" s="13"/>
      <c r="P816" s="13"/>
      <c r="Q816" s="13"/>
      <c r="R816" s="13"/>
      <c r="S816" s="13"/>
      <c r="T816" s="13"/>
    </row>
    <row r="817"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>
      <c r="K818" s="13"/>
      <c r="L818" s="13"/>
      <c r="M818" s="13"/>
      <c r="N818" s="13"/>
      <c r="O818" s="13"/>
      <c r="P818" s="13"/>
      <c r="Q818" s="13"/>
      <c r="R818" s="13"/>
      <c r="S818" s="13"/>
      <c r="T818" s="13"/>
    </row>
    <row r="819"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>
      <c r="K820" s="13"/>
      <c r="L820" s="13"/>
      <c r="M820" s="13"/>
      <c r="N820" s="13"/>
      <c r="O820" s="13"/>
      <c r="P820" s="13"/>
      <c r="Q820" s="13"/>
      <c r="R820" s="13"/>
      <c r="S820" s="13"/>
      <c r="T820" s="13"/>
    </row>
    <row r="821"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>
      <c r="K822" s="13"/>
      <c r="L822" s="13"/>
      <c r="M822" s="13"/>
      <c r="N822" s="13"/>
      <c r="O822" s="13"/>
      <c r="P822" s="13"/>
      <c r="Q822" s="13"/>
      <c r="R822" s="13"/>
      <c r="S822" s="13"/>
      <c r="T822" s="13"/>
    </row>
    <row r="823"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>
      <c r="K824" s="13"/>
      <c r="L824" s="13"/>
      <c r="M824" s="13"/>
      <c r="N824" s="13"/>
      <c r="O824" s="13"/>
      <c r="P824" s="13"/>
      <c r="Q824" s="13"/>
      <c r="R824" s="13"/>
      <c r="S824" s="13"/>
      <c r="T824" s="13"/>
    </row>
    <row r="825"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>
      <c r="K826" s="13"/>
      <c r="L826" s="13"/>
      <c r="M826" s="13"/>
      <c r="N826" s="13"/>
      <c r="O826" s="13"/>
      <c r="P826" s="13"/>
      <c r="Q826" s="13"/>
      <c r="R826" s="13"/>
      <c r="S826" s="13"/>
      <c r="T826" s="13"/>
    </row>
    <row r="827"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>
      <c r="K828" s="13"/>
      <c r="L828" s="13"/>
      <c r="M828" s="13"/>
      <c r="N828" s="13"/>
      <c r="O828" s="13"/>
      <c r="P828" s="13"/>
      <c r="Q828" s="13"/>
      <c r="R828" s="13"/>
      <c r="S828" s="13"/>
      <c r="T828" s="13"/>
    </row>
    <row r="829"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>
      <c r="K830" s="13"/>
      <c r="L830" s="13"/>
      <c r="M830" s="13"/>
      <c r="N830" s="13"/>
      <c r="O830" s="13"/>
      <c r="P830" s="13"/>
      <c r="Q830" s="13"/>
      <c r="R830" s="13"/>
      <c r="S830" s="13"/>
      <c r="T830" s="13"/>
    </row>
    <row r="831"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>
      <c r="K832" s="13"/>
      <c r="L832" s="13"/>
      <c r="M832" s="13"/>
      <c r="N832" s="13"/>
      <c r="O832" s="13"/>
      <c r="P832" s="13"/>
      <c r="Q832" s="13"/>
      <c r="R832" s="13"/>
      <c r="S832" s="13"/>
      <c r="T832" s="13"/>
    </row>
    <row r="833"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>
      <c r="K834" s="13"/>
      <c r="L834" s="13"/>
      <c r="M834" s="13"/>
      <c r="N834" s="13"/>
      <c r="O834" s="13"/>
      <c r="P834" s="13"/>
      <c r="Q834" s="13"/>
      <c r="R834" s="13"/>
      <c r="S834" s="13"/>
      <c r="T834" s="13"/>
    </row>
    <row r="835"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>
      <c r="K836" s="13"/>
      <c r="L836" s="13"/>
      <c r="M836" s="13"/>
      <c r="N836" s="13"/>
      <c r="O836" s="13"/>
      <c r="P836" s="13"/>
      <c r="Q836" s="13"/>
      <c r="R836" s="13"/>
      <c r="S836" s="13"/>
      <c r="T836" s="13"/>
    </row>
    <row r="837"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>
      <c r="K838" s="13"/>
      <c r="L838" s="13"/>
      <c r="M838" s="13"/>
      <c r="N838" s="13"/>
      <c r="O838" s="13"/>
      <c r="P838" s="13"/>
      <c r="Q838" s="13"/>
      <c r="R838" s="13"/>
      <c r="S838" s="13"/>
      <c r="T838" s="13"/>
    </row>
    <row r="839"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>
      <c r="K840" s="13"/>
      <c r="L840" s="13"/>
      <c r="M840" s="13"/>
      <c r="N840" s="13"/>
      <c r="O840" s="13"/>
      <c r="P840" s="13"/>
      <c r="Q840" s="13"/>
      <c r="R840" s="13"/>
      <c r="S840" s="13"/>
      <c r="T840" s="13"/>
    </row>
    <row r="841"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>
      <c r="K842" s="13"/>
      <c r="L842" s="13"/>
      <c r="M842" s="13"/>
      <c r="N842" s="13"/>
      <c r="O842" s="13"/>
      <c r="P842" s="13"/>
      <c r="Q842" s="13"/>
      <c r="R842" s="13"/>
      <c r="S842" s="13"/>
      <c r="T842" s="13"/>
    </row>
    <row r="843"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>
      <c r="K844" s="13"/>
      <c r="L844" s="13"/>
      <c r="M844" s="13"/>
      <c r="N844" s="13"/>
      <c r="O844" s="13"/>
      <c r="P844" s="13"/>
      <c r="Q844" s="13"/>
      <c r="R844" s="13"/>
      <c r="S844" s="13"/>
      <c r="T844" s="13"/>
    </row>
    <row r="845"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>
      <c r="K846" s="13"/>
      <c r="L846" s="13"/>
      <c r="M846" s="13"/>
      <c r="N846" s="13"/>
      <c r="O846" s="13"/>
      <c r="P846" s="13"/>
      <c r="Q846" s="13"/>
      <c r="R846" s="13"/>
      <c r="S846" s="13"/>
      <c r="T846" s="13"/>
    </row>
    <row r="847"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>
      <c r="K848" s="13"/>
      <c r="L848" s="13"/>
      <c r="M848" s="13"/>
      <c r="N848" s="13"/>
      <c r="O848" s="13"/>
      <c r="P848" s="13"/>
      <c r="Q848" s="13"/>
      <c r="R848" s="13"/>
      <c r="S848" s="13"/>
      <c r="T848" s="13"/>
    </row>
    <row r="849"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>
      <c r="K850" s="13"/>
      <c r="L850" s="13"/>
      <c r="M850" s="13"/>
      <c r="N850" s="13"/>
      <c r="O850" s="13"/>
      <c r="P850" s="13"/>
      <c r="Q850" s="13"/>
      <c r="R850" s="13"/>
      <c r="S850" s="13"/>
      <c r="T850" s="13"/>
    </row>
    <row r="851"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>
      <c r="K852" s="13"/>
      <c r="L852" s="13"/>
      <c r="M852" s="13"/>
      <c r="N852" s="13"/>
      <c r="O852" s="13"/>
      <c r="P852" s="13"/>
      <c r="Q852" s="13"/>
      <c r="R852" s="13"/>
      <c r="S852" s="13"/>
      <c r="T852" s="13"/>
    </row>
    <row r="853"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>
      <c r="K854" s="13"/>
      <c r="L854" s="13"/>
      <c r="M854" s="13"/>
      <c r="N854" s="13"/>
      <c r="O854" s="13"/>
      <c r="P854" s="13"/>
      <c r="Q854" s="13"/>
      <c r="R854" s="13"/>
      <c r="S854" s="13"/>
      <c r="T854" s="13"/>
    </row>
    <row r="855"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>
      <c r="K856" s="13"/>
      <c r="L856" s="13"/>
      <c r="M856" s="13"/>
      <c r="N856" s="13"/>
      <c r="O856" s="13"/>
      <c r="P856" s="13"/>
      <c r="Q856" s="13"/>
      <c r="R856" s="13"/>
      <c r="S856" s="13"/>
      <c r="T856" s="13"/>
    </row>
    <row r="857"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>
      <c r="K858" s="13"/>
      <c r="L858" s="13"/>
      <c r="M858" s="13"/>
      <c r="N858" s="13"/>
      <c r="O858" s="13"/>
      <c r="P858" s="13"/>
      <c r="Q858" s="13"/>
      <c r="R858" s="13"/>
      <c r="S858" s="13"/>
      <c r="T858" s="13"/>
    </row>
    <row r="859"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>
      <c r="K860" s="13"/>
      <c r="L860" s="13"/>
      <c r="M860" s="13"/>
      <c r="N860" s="13"/>
      <c r="O860" s="13"/>
      <c r="P860" s="13"/>
      <c r="Q860" s="13"/>
      <c r="R860" s="13"/>
      <c r="S860" s="13"/>
      <c r="T860" s="13"/>
    </row>
    <row r="861"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>
      <c r="K862" s="13"/>
      <c r="L862" s="13"/>
      <c r="M862" s="13"/>
      <c r="N862" s="13"/>
      <c r="O862" s="13"/>
      <c r="P862" s="13"/>
      <c r="Q862" s="13"/>
      <c r="R862" s="13"/>
      <c r="S862" s="13"/>
      <c r="T862" s="13"/>
    </row>
    <row r="863"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>
      <c r="K864" s="13"/>
      <c r="L864" s="13"/>
      <c r="M864" s="13"/>
      <c r="N864" s="13"/>
      <c r="O864" s="13"/>
      <c r="P864" s="13"/>
      <c r="Q864" s="13"/>
      <c r="R864" s="13"/>
      <c r="S864" s="13"/>
      <c r="T864" s="13"/>
    </row>
    <row r="865"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>
      <c r="K866" s="13"/>
      <c r="L866" s="13"/>
      <c r="M866" s="13"/>
      <c r="N866" s="13"/>
      <c r="O866" s="13"/>
      <c r="P866" s="13"/>
      <c r="Q866" s="13"/>
      <c r="R866" s="13"/>
      <c r="S866" s="13"/>
      <c r="T866" s="13"/>
    </row>
    <row r="867"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>
      <c r="K868" s="13"/>
      <c r="L868" s="13"/>
      <c r="M868" s="13"/>
      <c r="N868" s="13"/>
      <c r="O868" s="13"/>
      <c r="P868" s="13"/>
      <c r="Q868" s="13"/>
      <c r="R868" s="13"/>
      <c r="S868" s="13"/>
      <c r="T868" s="13"/>
    </row>
    <row r="869"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>
      <c r="K870" s="13"/>
      <c r="L870" s="13"/>
      <c r="M870" s="13"/>
      <c r="N870" s="13"/>
      <c r="O870" s="13"/>
      <c r="P870" s="13"/>
      <c r="Q870" s="13"/>
      <c r="R870" s="13"/>
      <c r="S870" s="13"/>
      <c r="T870" s="13"/>
    </row>
    <row r="871"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>
      <c r="K872" s="13"/>
      <c r="L872" s="13"/>
      <c r="M872" s="13"/>
      <c r="N872" s="13"/>
      <c r="O872" s="13"/>
      <c r="P872" s="13"/>
      <c r="Q872" s="13"/>
      <c r="R872" s="13"/>
      <c r="S872" s="13"/>
      <c r="T872" s="13"/>
    </row>
    <row r="873"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>
      <c r="K874" s="13"/>
      <c r="L874" s="13"/>
      <c r="M874" s="13"/>
      <c r="N874" s="13"/>
      <c r="O874" s="13"/>
      <c r="P874" s="13"/>
      <c r="Q874" s="13"/>
      <c r="R874" s="13"/>
      <c r="S874" s="13"/>
      <c r="T874" s="13"/>
    </row>
    <row r="875"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>
      <c r="K876" s="13"/>
      <c r="L876" s="13"/>
      <c r="M876" s="13"/>
      <c r="N876" s="13"/>
      <c r="O876" s="13"/>
      <c r="P876" s="13"/>
      <c r="Q876" s="13"/>
      <c r="R876" s="13"/>
      <c r="S876" s="13"/>
      <c r="T876" s="13"/>
    </row>
    <row r="877"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>
      <c r="K878" s="13"/>
      <c r="L878" s="13"/>
      <c r="M878" s="13"/>
      <c r="N878" s="13"/>
      <c r="O878" s="13"/>
      <c r="P878" s="13"/>
      <c r="Q878" s="13"/>
      <c r="R878" s="13"/>
      <c r="S878" s="13"/>
      <c r="T878" s="13"/>
    </row>
    <row r="879"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>
      <c r="K880" s="13"/>
      <c r="L880" s="13"/>
      <c r="M880" s="13"/>
      <c r="N880" s="13"/>
      <c r="O880" s="13"/>
      <c r="P880" s="13"/>
      <c r="Q880" s="13"/>
      <c r="R880" s="13"/>
      <c r="S880" s="13"/>
      <c r="T880" s="13"/>
    </row>
    <row r="881"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>
      <c r="K882" s="13"/>
      <c r="L882" s="13"/>
      <c r="M882" s="13"/>
      <c r="N882" s="13"/>
      <c r="O882" s="13"/>
      <c r="P882" s="13"/>
      <c r="Q882" s="13"/>
      <c r="R882" s="13"/>
      <c r="S882" s="13"/>
      <c r="T882" s="13"/>
    </row>
    <row r="883"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>
      <c r="K884" s="13"/>
      <c r="L884" s="13"/>
      <c r="M884" s="13"/>
      <c r="N884" s="13"/>
      <c r="O884" s="13"/>
      <c r="P884" s="13"/>
      <c r="Q884" s="13"/>
      <c r="R884" s="13"/>
      <c r="S884" s="13"/>
      <c r="T884" s="13"/>
    </row>
    <row r="885"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>
      <c r="K886" s="13"/>
      <c r="L886" s="13"/>
      <c r="M886" s="13"/>
      <c r="N886" s="13"/>
      <c r="O886" s="13"/>
      <c r="P886" s="13"/>
      <c r="Q886" s="13"/>
      <c r="R886" s="13"/>
      <c r="S886" s="13"/>
      <c r="T886" s="13"/>
    </row>
    <row r="887"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>
      <c r="K888" s="13"/>
      <c r="L888" s="13"/>
      <c r="M888" s="13"/>
      <c r="N888" s="13"/>
      <c r="O888" s="13"/>
      <c r="P888" s="13"/>
      <c r="Q888" s="13"/>
      <c r="R888" s="13"/>
      <c r="S888" s="13"/>
      <c r="T888" s="13"/>
    </row>
    <row r="889"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>
      <c r="K890" s="13"/>
      <c r="L890" s="13"/>
      <c r="M890" s="13"/>
      <c r="N890" s="13"/>
      <c r="O890" s="13"/>
      <c r="P890" s="13"/>
      <c r="Q890" s="13"/>
      <c r="R890" s="13"/>
      <c r="S890" s="13"/>
      <c r="T890" s="13"/>
    </row>
    <row r="891"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>
      <c r="K892" s="13"/>
      <c r="L892" s="13"/>
      <c r="M892" s="13"/>
      <c r="N892" s="13"/>
      <c r="O892" s="13"/>
      <c r="P892" s="13"/>
      <c r="Q892" s="13"/>
      <c r="R892" s="13"/>
      <c r="S892" s="13"/>
      <c r="T892" s="13"/>
    </row>
    <row r="893"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>
      <c r="K894" s="13"/>
      <c r="L894" s="13"/>
      <c r="M894" s="13"/>
      <c r="N894" s="13"/>
      <c r="O894" s="13"/>
      <c r="P894" s="13"/>
      <c r="Q894" s="13"/>
      <c r="R894" s="13"/>
      <c r="S894" s="13"/>
      <c r="T894" s="13"/>
    </row>
    <row r="895"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>
      <c r="K896" s="13"/>
      <c r="L896" s="13"/>
      <c r="M896" s="13"/>
      <c r="N896" s="13"/>
      <c r="O896" s="13"/>
      <c r="P896" s="13"/>
      <c r="Q896" s="13"/>
      <c r="R896" s="13"/>
      <c r="S896" s="13"/>
      <c r="T896" s="13"/>
    </row>
    <row r="897"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>
      <c r="K898" s="13"/>
      <c r="L898" s="13"/>
      <c r="M898" s="13"/>
      <c r="N898" s="13"/>
      <c r="O898" s="13"/>
      <c r="P898" s="13"/>
      <c r="Q898" s="13"/>
      <c r="R898" s="13"/>
      <c r="S898" s="13"/>
      <c r="T898" s="13"/>
    </row>
    <row r="899"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>
      <c r="K900" s="13"/>
      <c r="L900" s="13"/>
      <c r="M900" s="13"/>
      <c r="N900" s="13"/>
      <c r="O900" s="13"/>
      <c r="P900" s="13"/>
      <c r="Q900" s="13"/>
      <c r="R900" s="13"/>
      <c r="S900" s="13"/>
      <c r="T900" s="13"/>
    </row>
    <row r="901"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>
      <c r="K902" s="13"/>
      <c r="L902" s="13"/>
      <c r="M902" s="13"/>
      <c r="N902" s="13"/>
      <c r="O902" s="13"/>
      <c r="P902" s="13"/>
      <c r="Q902" s="13"/>
      <c r="R902" s="13"/>
      <c r="S902" s="13"/>
      <c r="T902" s="13"/>
    </row>
    <row r="903"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>
      <c r="K904" s="13"/>
      <c r="L904" s="13"/>
      <c r="M904" s="13"/>
      <c r="N904" s="13"/>
      <c r="O904" s="13"/>
      <c r="P904" s="13"/>
      <c r="Q904" s="13"/>
      <c r="R904" s="13"/>
      <c r="S904" s="13"/>
      <c r="T904" s="13"/>
    </row>
    <row r="905"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>
      <c r="K906" s="13"/>
      <c r="L906" s="13"/>
      <c r="M906" s="13"/>
      <c r="N906" s="13"/>
      <c r="O906" s="13"/>
      <c r="P906" s="13"/>
      <c r="Q906" s="13"/>
      <c r="R906" s="13"/>
      <c r="S906" s="13"/>
      <c r="T906" s="13"/>
    </row>
    <row r="907"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>
      <c r="K908" s="13"/>
      <c r="L908" s="13"/>
      <c r="M908" s="13"/>
      <c r="N908" s="13"/>
      <c r="O908" s="13"/>
      <c r="P908" s="13"/>
      <c r="Q908" s="13"/>
      <c r="R908" s="13"/>
      <c r="S908" s="13"/>
      <c r="T908" s="13"/>
    </row>
    <row r="909"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>
      <c r="K910" s="13"/>
      <c r="L910" s="13"/>
      <c r="M910" s="13"/>
      <c r="N910" s="13"/>
      <c r="O910" s="13"/>
      <c r="P910" s="13"/>
      <c r="Q910" s="13"/>
      <c r="R910" s="13"/>
      <c r="S910" s="13"/>
      <c r="T910" s="13"/>
    </row>
    <row r="911"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>
      <c r="K912" s="13"/>
      <c r="L912" s="13"/>
      <c r="M912" s="13"/>
      <c r="N912" s="13"/>
      <c r="O912" s="13"/>
      <c r="P912" s="13"/>
      <c r="Q912" s="13"/>
      <c r="R912" s="13"/>
      <c r="S912" s="13"/>
      <c r="T912" s="13"/>
    </row>
    <row r="913"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>
      <c r="K914" s="13"/>
      <c r="L914" s="13"/>
      <c r="M914" s="13"/>
      <c r="N914" s="13"/>
      <c r="O914" s="13"/>
      <c r="P914" s="13"/>
      <c r="Q914" s="13"/>
      <c r="R914" s="13"/>
      <c r="S914" s="13"/>
      <c r="T914" s="13"/>
    </row>
    <row r="915"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>
      <c r="K916" s="13"/>
      <c r="L916" s="13"/>
      <c r="M916" s="13"/>
      <c r="N916" s="13"/>
      <c r="O916" s="13"/>
      <c r="P916" s="13"/>
      <c r="Q916" s="13"/>
      <c r="R916" s="13"/>
      <c r="S916" s="13"/>
      <c r="T916" s="13"/>
    </row>
    <row r="917"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>
      <c r="K918" s="13"/>
      <c r="L918" s="13"/>
      <c r="M918" s="13"/>
      <c r="N918" s="13"/>
      <c r="O918" s="13"/>
      <c r="P918" s="13"/>
      <c r="Q918" s="13"/>
      <c r="R918" s="13"/>
      <c r="S918" s="13"/>
      <c r="T918" s="13"/>
    </row>
    <row r="919"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>
      <c r="K920" s="13"/>
      <c r="L920" s="13"/>
      <c r="M920" s="13"/>
      <c r="N920" s="13"/>
      <c r="O920" s="13"/>
      <c r="P920" s="13"/>
      <c r="Q920" s="13"/>
      <c r="R920" s="13"/>
      <c r="S920" s="13"/>
      <c r="T920" s="13"/>
    </row>
    <row r="921"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>
      <c r="K922" s="13"/>
      <c r="L922" s="13"/>
      <c r="M922" s="13"/>
      <c r="N922" s="13"/>
      <c r="O922" s="13"/>
      <c r="P922" s="13"/>
      <c r="Q922" s="13"/>
      <c r="R922" s="13"/>
      <c r="S922" s="13"/>
      <c r="T922" s="13"/>
    </row>
    <row r="923"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>
      <c r="K924" s="13"/>
      <c r="L924" s="13"/>
      <c r="M924" s="13"/>
      <c r="N924" s="13"/>
      <c r="O924" s="13"/>
      <c r="P924" s="13"/>
      <c r="Q924" s="13"/>
      <c r="R924" s="13"/>
      <c r="S924" s="13"/>
      <c r="T924" s="13"/>
    </row>
    <row r="925"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>
      <c r="K926" s="13"/>
      <c r="L926" s="13"/>
      <c r="M926" s="13"/>
      <c r="N926" s="13"/>
      <c r="O926" s="13"/>
      <c r="P926" s="13"/>
      <c r="Q926" s="13"/>
      <c r="R926" s="13"/>
      <c r="S926" s="13"/>
      <c r="T926" s="13"/>
    </row>
    <row r="927"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>
      <c r="K928" s="13"/>
      <c r="L928" s="13"/>
      <c r="M928" s="13"/>
      <c r="N928" s="13"/>
      <c r="O928" s="13"/>
      <c r="P928" s="13"/>
      <c r="Q928" s="13"/>
      <c r="R928" s="13"/>
      <c r="S928" s="13"/>
      <c r="T928" s="13"/>
    </row>
    <row r="929"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>
      <c r="K930" s="13"/>
      <c r="L930" s="13"/>
      <c r="M930" s="13"/>
      <c r="N930" s="13"/>
      <c r="O930" s="13"/>
      <c r="P930" s="13"/>
      <c r="Q930" s="13"/>
      <c r="R930" s="13"/>
      <c r="S930" s="13"/>
      <c r="T930" s="13"/>
    </row>
    <row r="931"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>
      <c r="K932" s="13"/>
      <c r="L932" s="13"/>
      <c r="M932" s="13"/>
      <c r="N932" s="13"/>
      <c r="O932" s="13"/>
      <c r="P932" s="13"/>
      <c r="Q932" s="13"/>
      <c r="R932" s="13"/>
      <c r="S932" s="13"/>
      <c r="T932" s="13"/>
    </row>
    <row r="933">
      <c r="K933" s="13"/>
      <c r="L933" s="13"/>
      <c r="M933" s="13"/>
      <c r="N933" s="13"/>
      <c r="O933" s="13"/>
      <c r="P933" s="13"/>
      <c r="Q933" s="13"/>
      <c r="R933" s="13"/>
      <c r="S933" s="13"/>
      <c r="T933" s="13"/>
    </row>
    <row r="934">
      <c r="K934" s="13"/>
      <c r="L934" s="13"/>
      <c r="M934" s="13"/>
      <c r="N934" s="13"/>
      <c r="O934" s="13"/>
      <c r="P934" s="13"/>
      <c r="Q934" s="13"/>
      <c r="R934" s="13"/>
      <c r="S934" s="13"/>
      <c r="T934" s="13"/>
    </row>
    <row r="935">
      <c r="K935" s="13"/>
      <c r="L935" s="13"/>
      <c r="M935" s="13"/>
      <c r="N935" s="13"/>
      <c r="O935" s="13"/>
      <c r="P935" s="13"/>
      <c r="Q935" s="13"/>
      <c r="R935" s="13"/>
      <c r="S935" s="13"/>
      <c r="T935" s="13"/>
    </row>
    <row r="936">
      <c r="K936" s="13"/>
      <c r="L936" s="13"/>
      <c r="M936" s="13"/>
      <c r="N936" s="13"/>
      <c r="O936" s="13"/>
      <c r="P936" s="13"/>
      <c r="Q936" s="13"/>
      <c r="R936" s="13"/>
      <c r="S936" s="13"/>
      <c r="T936" s="13"/>
    </row>
    <row r="937">
      <c r="K937" s="13"/>
      <c r="L937" s="13"/>
      <c r="M937" s="13"/>
      <c r="N937" s="13"/>
      <c r="O937" s="13"/>
      <c r="P937" s="13"/>
      <c r="Q937" s="13"/>
      <c r="R937" s="13"/>
      <c r="S937" s="13"/>
      <c r="T937" s="13"/>
    </row>
    <row r="938">
      <c r="K938" s="13"/>
      <c r="L938" s="13"/>
      <c r="M938" s="13"/>
      <c r="N938" s="13"/>
      <c r="O938" s="13"/>
      <c r="P938" s="13"/>
      <c r="Q938" s="13"/>
      <c r="R938" s="13"/>
      <c r="S938" s="13"/>
      <c r="T938" s="13"/>
    </row>
    <row r="939">
      <c r="K939" s="13"/>
      <c r="L939" s="13"/>
      <c r="M939" s="13"/>
      <c r="N939" s="13"/>
      <c r="O939" s="13"/>
      <c r="P939" s="13"/>
      <c r="Q939" s="13"/>
      <c r="R939" s="13"/>
      <c r="S939" s="13"/>
      <c r="T939" s="13"/>
    </row>
    <row r="940">
      <c r="K940" s="13"/>
      <c r="L940" s="13"/>
      <c r="M940" s="13"/>
      <c r="N940" s="13"/>
      <c r="O940" s="13"/>
      <c r="P940" s="13"/>
      <c r="Q940" s="13"/>
      <c r="R940" s="13"/>
      <c r="S940" s="13"/>
      <c r="T940" s="13"/>
    </row>
    <row r="941">
      <c r="K941" s="13"/>
      <c r="L941" s="13"/>
      <c r="M941" s="13"/>
      <c r="N941" s="13"/>
      <c r="O941" s="13"/>
      <c r="P941" s="13"/>
      <c r="Q941" s="13"/>
      <c r="R941" s="13"/>
      <c r="S941" s="13"/>
      <c r="T941" s="13"/>
    </row>
    <row r="942">
      <c r="K942" s="13"/>
      <c r="L942" s="13"/>
      <c r="M942" s="13"/>
      <c r="N942" s="13"/>
      <c r="O942" s="13"/>
      <c r="P942" s="13"/>
      <c r="Q942" s="13"/>
      <c r="R942" s="13"/>
      <c r="S942" s="13"/>
      <c r="T942" s="13"/>
    </row>
    <row r="943">
      <c r="K943" s="13"/>
      <c r="L943" s="13"/>
      <c r="M943" s="13"/>
      <c r="N943" s="13"/>
      <c r="O943" s="13"/>
      <c r="P943" s="13"/>
      <c r="Q943" s="13"/>
      <c r="R943" s="13"/>
      <c r="S943" s="13"/>
      <c r="T943" s="13"/>
    </row>
    <row r="944">
      <c r="K944" s="13"/>
      <c r="L944" s="13"/>
      <c r="M944" s="13"/>
      <c r="N944" s="13"/>
      <c r="O944" s="13"/>
      <c r="P944" s="13"/>
      <c r="Q944" s="13"/>
      <c r="R944" s="13"/>
      <c r="S944" s="13"/>
      <c r="T944" s="13"/>
    </row>
    <row r="945">
      <c r="K945" s="13"/>
      <c r="L945" s="13"/>
      <c r="M945" s="13"/>
      <c r="N945" s="13"/>
      <c r="O945" s="13"/>
      <c r="P945" s="13"/>
      <c r="Q945" s="13"/>
      <c r="R945" s="13"/>
      <c r="S945" s="13"/>
      <c r="T945" s="13"/>
    </row>
    <row r="946">
      <c r="K946" s="13"/>
      <c r="L946" s="13"/>
      <c r="M946" s="13"/>
      <c r="N946" s="13"/>
      <c r="O946" s="13"/>
      <c r="P946" s="13"/>
      <c r="Q946" s="13"/>
      <c r="R946" s="13"/>
      <c r="S946" s="13"/>
      <c r="T946" s="13"/>
    </row>
    <row r="947">
      <c r="K947" s="13"/>
      <c r="L947" s="13"/>
      <c r="M947" s="13"/>
      <c r="N947" s="13"/>
      <c r="O947" s="13"/>
      <c r="P947" s="13"/>
      <c r="Q947" s="13"/>
      <c r="R947" s="13"/>
      <c r="S947" s="13"/>
      <c r="T947" s="13"/>
    </row>
    <row r="948">
      <c r="K948" s="13"/>
      <c r="L948" s="13"/>
      <c r="M948" s="13"/>
      <c r="N948" s="13"/>
      <c r="O948" s="13"/>
      <c r="P948" s="13"/>
      <c r="Q948" s="13"/>
      <c r="R948" s="13"/>
      <c r="S948" s="13"/>
      <c r="T948" s="13"/>
    </row>
    <row r="949">
      <c r="K949" s="13"/>
      <c r="L949" s="13"/>
      <c r="M949" s="13"/>
      <c r="N949" s="13"/>
      <c r="O949" s="13"/>
      <c r="P949" s="13"/>
      <c r="Q949" s="13"/>
      <c r="R949" s="13"/>
      <c r="S949" s="13"/>
      <c r="T949" s="13"/>
    </row>
    <row r="950">
      <c r="K950" s="13"/>
      <c r="L950" s="13"/>
      <c r="M950" s="13"/>
      <c r="N950" s="13"/>
      <c r="O950" s="13"/>
      <c r="P950" s="13"/>
      <c r="Q950" s="13"/>
      <c r="R950" s="13"/>
      <c r="S950" s="13"/>
      <c r="T950" s="13"/>
    </row>
    <row r="951">
      <c r="K951" s="13"/>
      <c r="L951" s="13"/>
      <c r="M951" s="13"/>
      <c r="N951" s="13"/>
      <c r="O951" s="13"/>
      <c r="P951" s="13"/>
      <c r="Q951" s="13"/>
      <c r="R951" s="13"/>
      <c r="S951" s="13"/>
      <c r="T951" s="13"/>
    </row>
    <row r="952">
      <c r="K952" s="13"/>
      <c r="L952" s="13"/>
      <c r="M952" s="13"/>
      <c r="N952" s="13"/>
      <c r="O952" s="13"/>
      <c r="P952" s="13"/>
      <c r="Q952" s="13"/>
      <c r="R952" s="13"/>
      <c r="S952" s="13"/>
      <c r="T952" s="13"/>
    </row>
    <row r="953">
      <c r="K953" s="13"/>
      <c r="L953" s="13"/>
      <c r="M953" s="13"/>
      <c r="N953" s="13"/>
      <c r="O953" s="13"/>
      <c r="P953" s="13"/>
      <c r="Q953" s="13"/>
      <c r="R953" s="13"/>
      <c r="S953" s="13"/>
      <c r="T953" s="13"/>
    </row>
    <row r="954">
      <c r="K954" s="13"/>
      <c r="L954" s="13"/>
      <c r="M954" s="13"/>
      <c r="N954" s="13"/>
      <c r="O954" s="13"/>
      <c r="P954" s="13"/>
      <c r="Q954" s="13"/>
      <c r="R954" s="13"/>
      <c r="S954" s="13"/>
      <c r="T954" s="13"/>
    </row>
    <row r="955">
      <c r="K955" s="13"/>
      <c r="L955" s="13"/>
      <c r="M955" s="13"/>
      <c r="N955" s="13"/>
      <c r="O955" s="13"/>
      <c r="P955" s="13"/>
      <c r="Q955" s="13"/>
      <c r="R955" s="13"/>
      <c r="S955" s="13"/>
      <c r="T955" s="13"/>
    </row>
    <row r="956">
      <c r="K956" s="13"/>
      <c r="L956" s="13"/>
      <c r="M956" s="13"/>
      <c r="N956" s="13"/>
      <c r="O956" s="13"/>
      <c r="P956" s="13"/>
      <c r="Q956" s="13"/>
      <c r="R956" s="13"/>
      <c r="S956" s="13"/>
      <c r="T956" s="13"/>
    </row>
    <row r="957">
      <c r="K957" s="13"/>
      <c r="L957" s="13"/>
      <c r="M957" s="13"/>
      <c r="N957" s="13"/>
      <c r="O957" s="13"/>
      <c r="P957" s="13"/>
      <c r="Q957" s="13"/>
      <c r="R957" s="13"/>
      <c r="S957" s="13"/>
      <c r="T957" s="13"/>
    </row>
    <row r="958">
      <c r="K958" s="13"/>
      <c r="L958" s="13"/>
      <c r="M958" s="13"/>
      <c r="N958" s="13"/>
      <c r="O958" s="13"/>
      <c r="P958" s="13"/>
      <c r="Q958" s="13"/>
      <c r="R958" s="13"/>
      <c r="S958" s="13"/>
      <c r="T958" s="13"/>
    </row>
    <row r="959">
      <c r="K959" s="13"/>
      <c r="L959" s="13"/>
      <c r="M959" s="13"/>
      <c r="N959" s="13"/>
      <c r="O959" s="13"/>
      <c r="P959" s="13"/>
      <c r="Q959" s="13"/>
      <c r="R959" s="13"/>
      <c r="S959" s="13"/>
      <c r="T959" s="13"/>
    </row>
    <row r="960">
      <c r="K960" s="13"/>
      <c r="L960" s="13"/>
      <c r="M960" s="13"/>
      <c r="N960" s="13"/>
      <c r="O960" s="13"/>
      <c r="P960" s="13"/>
      <c r="Q960" s="13"/>
      <c r="R960" s="13"/>
      <c r="S960" s="13"/>
      <c r="T960" s="13"/>
    </row>
    <row r="961">
      <c r="K961" s="13"/>
      <c r="L961" s="13"/>
      <c r="M961" s="13"/>
      <c r="N961" s="13"/>
      <c r="O961" s="13"/>
      <c r="P961" s="13"/>
      <c r="Q961" s="13"/>
      <c r="R961" s="13"/>
      <c r="S961" s="13"/>
      <c r="T961" s="13"/>
    </row>
    <row r="962">
      <c r="K962" s="13"/>
      <c r="L962" s="13"/>
      <c r="M962" s="13"/>
      <c r="N962" s="13"/>
      <c r="O962" s="13"/>
      <c r="P962" s="13"/>
      <c r="Q962" s="13"/>
      <c r="R962" s="13"/>
      <c r="S962" s="13"/>
      <c r="T962" s="13"/>
    </row>
    <row r="963">
      <c r="K963" s="13"/>
      <c r="L963" s="13"/>
      <c r="M963" s="13"/>
      <c r="N963" s="13"/>
      <c r="O963" s="13"/>
      <c r="P963" s="13"/>
      <c r="Q963" s="13"/>
      <c r="R963" s="13"/>
      <c r="S963" s="13"/>
      <c r="T963" s="13"/>
    </row>
    <row r="964">
      <c r="K964" s="13"/>
      <c r="L964" s="13"/>
      <c r="M964" s="13"/>
      <c r="N964" s="13"/>
      <c r="O964" s="13"/>
      <c r="P964" s="13"/>
      <c r="Q964" s="13"/>
      <c r="R964" s="13"/>
      <c r="S964" s="13"/>
      <c r="T964" s="13"/>
    </row>
    <row r="965">
      <c r="K965" s="13"/>
      <c r="L965" s="13"/>
      <c r="M965" s="13"/>
      <c r="N965" s="13"/>
      <c r="O965" s="13"/>
      <c r="P965" s="13"/>
      <c r="Q965" s="13"/>
      <c r="R965" s="13"/>
      <c r="S965" s="13"/>
      <c r="T965" s="13"/>
    </row>
    <row r="966">
      <c r="K966" s="13"/>
      <c r="L966" s="13"/>
      <c r="M966" s="13"/>
      <c r="N966" s="13"/>
      <c r="O966" s="13"/>
      <c r="P966" s="13"/>
      <c r="Q966" s="13"/>
      <c r="R966" s="13"/>
      <c r="S966" s="13"/>
      <c r="T966" s="13"/>
    </row>
    <row r="967">
      <c r="K967" s="13"/>
      <c r="L967" s="13"/>
      <c r="M967" s="13"/>
      <c r="N967" s="13"/>
      <c r="O967" s="13"/>
      <c r="P967" s="13"/>
      <c r="Q967" s="13"/>
      <c r="R967" s="13"/>
      <c r="S967" s="13"/>
      <c r="T967" s="13"/>
    </row>
    <row r="968">
      <c r="K968" s="13"/>
      <c r="L968" s="13"/>
      <c r="M968" s="13"/>
      <c r="N968" s="13"/>
      <c r="O968" s="13"/>
      <c r="P968" s="13"/>
      <c r="Q968" s="13"/>
      <c r="R968" s="13"/>
      <c r="S968" s="13"/>
      <c r="T968" s="13"/>
    </row>
    <row r="969">
      <c r="K969" s="13"/>
      <c r="L969" s="13"/>
      <c r="M969" s="13"/>
      <c r="N969" s="13"/>
      <c r="O969" s="13"/>
      <c r="P969" s="13"/>
      <c r="Q969" s="13"/>
      <c r="R969" s="13"/>
      <c r="S969" s="13"/>
      <c r="T969" s="13"/>
    </row>
    <row r="970">
      <c r="K970" s="13"/>
      <c r="L970" s="13"/>
      <c r="M970" s="13"/>
      <c r="N970" s="13"/>
      <c r="O970" s="13"/>
      <c r="P970" s="13"/>
      <c r="Q970" s="13"/>
      <c r="R970" s="13"/>
      <c r="S970" s="13"/>
      <c r="T970" s="13"/>
    </row>
    <row r="971">
      <c r="K971" s="13"/>
      <c r="L971" s="13"/>
      <c r="M971" s="13"/>
      <c r="N971" s="13"/>
      <c r="O971" s="13"/>
      <c r="P971" s="13"/>
      <c r="Q971" s="13"/>
      <c r="R971" s="13"/>
      <c r="S971" s="13"/>
      <c r="T971" s="13"/>
    </row>
    <row r="972">
      <c r="K972" s="13"/>
      <c r="L972" s="13"/>
      <c r="M972" s="13"/>
      <c r="N972" s="13"/>
      <c r="O972" s="13"/>
      <c r="P972" s="13"/>
      <c r="Q972" s="13"/>
      <c r="R972" s="13"/>
      <c r="S972" s="13"/>
      <c r="T972" s="13"/>
    </row>
    <row r="973">
      <c r="K973" s="13"/>
      <c r="L973" s="13"/>
      <c r="M973" s="13"/>
      <c r="N973" s="13"/>
      <c r="O973" s="13"/>
      <c r="P973" s="13"/>
      <c r="Q973" s="13"/>
      <c r="R973" s="13"/>
      <c r="S973" s="13"/>
      <c r="T973" s="13"/>
    </row>
    <row r="974">
      <c r="K974" s="13"/>
      <c r="L974" s="13"/>
      <c r="M974" s="13"/>
      <c r="N974" s="13"/>
      <c r="O974" s="13"/>
      <c r="P974" s="13"/>
      <c r="Q974" s="13"/>
      <c r="R974" s="13"/>
      <c r="S974" s="13"/>
      <c r="T974" s="13"/>
    </row>
    <row r="975">
      <c r="K975" s="13"/>
      <c r="L975" s="13"/>
      <c r="M975" s="13"/>
      <c r="N975" s="13"/>
      <c r="O975" s="13"/>
      <c r="P975" s="13"/>
      <c r="Q975" s="13"/>
      <c r="R975" s="13"/>
      <c r="S975" s="13"/>
      <c r="T975" s="13"/>
    </row>
    <row r="976">
      <c r="K976" s="13"/>
      <c r="L976" s="13"/>
      <c r="M976" s="13"/>
      <c r="N976" s="13"/>
      <c r="O976" s="13"/>
      <c r="P976" s="13"/>
      <c r="Q976" s="13"/>
      <c r="R976" s="13"/>
      <c r="S976" s="13"/>
      <c r="T976" s="13"/>
    </row>
    <row r="977">
      <c r="K977" s="13"/>
      <c r="L977" s="13"/>
      <c r="M977" s="13"/>
      <c r="N977" s="13"/>
      <c r="O977" s="13"/>
      <c r="P977" s="13"/>
      <c r="Q977" s="13"/>
      <c r="R977" s="13"/>
      <c r="S977" s="13"/>
      <c r="T977" s="13"/>
    </row>
    <row r="978">
      <c r="K978" s="13"/>
      <c r="L978" s="13"/>
      <c r="M978" s="13"/>
      <c r="N978" s="13"/>
      <c r="O978" s="13"/>
      <c r="P978" s="13"/>
      <c r="Q978" s="13"/>
      <c r="R978" s="13"/>
      <c r="S978" s="13"/>
      <c r="T978" s="13"/>
    </row>
    <row r="979">
      <c r="K979" s="13"/>
      <c r="L979" s="13"/>
      <c r="M979" s="13"/>
      <c r="N979" s="13"/>
      <c r="O979" s="13"/>
      <c r="P979" s="13"/>
      <c r="Q979" s="13"/>
      <c r="R979" s="13"/>
      <c r="S979" s="13"/>
      <c r="T979" s="13"/>
    </row>
    <row r="980">
      <c r="K980" s="13"/>
      <c r="L980" s="13"/>
      <c r="M980" s="13"/>
      <c r="N980" s="13"/>
      <c r="O980" s="13"/>
      <c r="P980" s="13"/>
      <c r="Q980" s="13"/>
      <c r="R980" s="13"/>
      <c r="S980" s="13"/>
      <c r="T980" s="13"/>
    </row>
    <row r="981">
      <c r="K981" s="13"/>
      <c r="L981" s="13"/>
      <c r="M981" s="13"/>
      <c r="N981" s="13"/>
      <c r="O981" s="13"/>
      <c r="P981" s="13"/>
      <c r="Q981" s="13"/>
      <c r="R981" s="13"/>
      <c r="S981" s="13"/>
      <c r="T981" s="13"/>
    </row>
    <row r="982">
      <c r="K982" s="13"/>
      <c r="L982" s="13"/>
      <c r="M982" s="13"/>
      <c r="N982" s="13"/>
      <c r="O982" s="13"/>
      <c r="P982" s="13"/>
      <c r="Q982" s="13"/>
      <c r="R982" s="13"/>
      <c r="S982" s="13"/>
      <c r="T982" s="13"/>
    </row>
    <row r="983">
      <c r="K983" s="13"/>
      <c r="L983" s="13"/>
      <c r="M983" s="13"/>
      <c r="N983" s="13"/>
      <c r="O983" s="13"/>
      <c r="P983" s="13"/>
      <c r="Q983" s="13"/>
      <c r="R983" s="13"/>
      <c r="S983" s="13"/>
      <c r="T983" s="13"/>
    </row>
    <row r="984">
      <c r="K984" s="13"/>
      <c r="L984" s="13"/>
      <c r="M984" s="13"/>
      <c r="N984" s="13"/>
      <c r="O984" s="13"/>
      <c r="P984" s="13"/>
      <c r="Q984" s="13"/>
      <c r="R984" s="13"/>
      <c r="S984" s="13"/>
      <c r="T984" s="13"/>
    </row>
    <row r="985">
      <c r="K985" s="13"/>
      <c r="L985" s="13"/>
      <c r="M985" s="13"/>
      <c r="N985" s="13"/>
      <c r="O985" s="13"/>
      <c r="P985" s="13"/>
      <c r="Q985" s="13"/>
      <c r="R985" s="13"/>
      <c r="S985" s="13"/>
      <c r="T985" s="13"/>
    </row>
    <row r="986">
      <c r="K986" s="13"/>
      <c r="L986" s="13"/>
      <c r="M986" s="13"/>
      <c r="N986" s="13"/>
      <c r="O986" s="13"/>
      <c r="P986" s="13"/>
      <c r="Q986" s="13"/>
      <c r="R986" s="13"/>
      <c r="S986" s="13"/>
      <c r="T986" s="13"/>
    </row>
    <row r="987">
      <c r="K987" s="13"/>
      <c r="L987" s="13"/>
      <c r="M987" s="13"/>
      <c r="N987" s="13"/>
      <c r="O987" s="13"/>
      <c r="P987" s="13"/>
      <c r="Q987" s="13"/>
      <c r="R987" s="13"/>
      <c r="S987" s="13"/>
      <c r="T987" s="13"/>
    </row>
    <row r="988">
      <c r="K988" s="13"/>
      <c r="L988" s="13"/>
      <c r="M988" s="13"/>
      <c r="N988" s="13"/>
      <c r="O988" s="13"/>
      <c r="P988" s="13"/>
      <c r="Q988" s="13"/>
      <c r="R988" s="13"/>
      <c r="S988" s="13"/>
      <c r="T988" s="13"/>
    </row>
    <row r="989">
      <c r="K989" s="13"/>
      <c r="L989" s="13"/>
      <c r="M989" s="13"/>
      <c r="N989" s="13"/>
      <c r="O989" s="13"/>
      <c r="P989" s="13"/>
      <c r="Q989" s="13"/>
      <c r="R989" s="13"/>
      <c r="S989" s="13"/>
      <c r="T989" s="13"/>
    </row>
    <row r="990">
      <c r="K990" s="13"/>
      <c r="L990" s="13"/>
      <c r="M990" s="13"/>
      <c r="N990" s="13"/>
      <c r="O990" s="13"/>
      <c r="P990" s="13"/>
      <c r="Q990" s="13"/>
      <c r="R990" s="13"/>
      <c r="S990" s="13"/>
      <c r="T990" s="13"/>
    </row>
    <row r="991">
      <c r="K991" s="13"/>
      <c r="L991" s="13"/>
      <c r="M991" s="13"/>
      <c r="N991" s="13"/>
      <c r="O991" s="13"/>
      <c r="P991" s="13"/>
      <c r="Q991" s="13"/>
      <c r="R991" s="13"/>
      <c r="S991" s="13"/>
      <c r="T991" s="13"/>
    </row>
    <row r="992">
      <c r="K992" s="13"/>
      <c r="L992" s="13"/>
      <c r="M992" s="13"/>
      <c r="N992" s="13"/>
      <c r="O992" s="13"/>
      <c r="P992" s="13"/>
      <c r="Q992" s="13"/>
      <c r="R992" s="13"/>
      <c r="S992" s="13"/>
      <c r="T992" s="13"/>
    </row>
    <row r="993">
      <c r="K993" s="13"/>
      <c r="L993" s="13"/>
      <c r="M993" s="13"/>
      <c r="N993" s="13"/>
      <c r="O993" s="13"/>
      <c r="P993" s="13"/>
      <c r="Q993" s="13"/>
      <c r="R993" s="13"/>
      <c r="S993" s="13"/>
      <c r="T993" s="13"/>
    </row>
    <row r="994">
      <c r="K994" s="13"/>
      <c r="L994" s="13"/>
      <c r="M994" s="13"/>
      <c r="N994" s="13"/>
      <c r="O994" s="13"/>
      <c r="P994" s="13"/>
      <c r="Q994" s="13"/>
      <c r="R994" s="13"/>
      <c r="S994" s="13"/>
      <c r="T994" s="13"/>
    </row>
    <row r="995">
      <c r="K995" s="13"/>
      <c r="L995" s="13"/>
      <c r="M995" s="13"/>
      <c r="N995" s="13"/>
      <c r="O995" s="13"/>
      <c r="P995" s="13"/>
      <c r="Q995" s="13"/>
      <c r="R995" s="13"/>
      <c r="S995" s="13"/>
      <c r="T995" s="13"/>
    </row>
    <row r="996">
      <c r="K996" s="13"/>
      <c r="L996" s="13"/>
      <c r="M996" s="13"/>
      <c r="N996" s="13"/>
      <c r="O996" s="13"/>
      <c r="P996" s="13"/>
      <c r="Q996" s="13"/>
      <c r="R996" s="13"/>
      <c r="S996" s="13"/>
      <c r="T996" s="13"/>
    </row>
    <row r="997">
      <c r="K997" s="13"/>
      <c r="L997" s="13"/>
      <c r="M997" s="13"/>
      <c r="N997" s="13"/>
      <c r="O997" s="13"/>
      <c r="P997" s="13"/>
      <c r="Q997" s="13"/>
      <c r="R997" s="13"/>
      <c r="S997" s="13"/>
      <c r="T997" s="13"/>
    </row>
    <row r="998">
      <c r="K998" s="13"/>
      <c r="L998" s="13"/>
      <c r="M998" s="13"/>
      <c r="N998" s="13"/>
      <c r="O998" s="13"/>
      <c r="P998" s="13"/>
      <c r="Q998" s="13"/>
      <c r="R998" s="13"/>
      <c r="S998" s="13"/>
      <c r="T998" s="13"/>
    </row>
    <row r="999">
      <c r="K999" s="13"/>
      <c r="L999" s="13"/>
      <c r="M999" s="13"/>
      <c r="N999" s="13"/>
      <c r="O999" s="13"/>
      <c r="P999" s="13"/>
      <c r="Q999" s="13"/>
      <c r="R999" s="13"/>
      <c r="S999" s="13"/>
      <c r="T999" s="13"/>
    </row>
    <row r="1000"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6.88"/>
    <col customWidth="1" min="14" max="14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612</v>
      </c>
      <c r="K1" s="2" t="s">
        <v>613</v>
      </c>
      <c r="L1" s="11"/>
      <c r="M1" s="11"/>
      <c r="N1" s="11"/>
      <c r="O1" s="11"/>
      <c r="P1" s="11"/>
      <c r="Q1" s="11"/>
      <c r="R1" s="11"/>
      <c r="S1" s="11"/>
      <c r="T1" s="11"/>
    </row>
    <row r="2">
      <c r="A2" s="12" t="str">
        <f>IFERROR(__xludf.DUMMYFUNCTION("QUERY(
  JudgeInfo!A2:U1000,
  ""select A,B,C,D,E,F,G,H,I,T, N 
   where U = 'MATTS SITE4' 
   order by N asc"",
  0
)"),"ACTIVE")</f>
        <v>ACTIVE</v>
      </c>
      <c r="B2" s="12" t="str">
        <f>IFERROR(__xludf.DUMMYFUNCTION("""COMPUTED_VALUE"""),"ACTIVE JUDGES CERTIFIED ")</f>
        <v>ACTIVE JUDGES CERTIFIED </v>
      </c>
      <c r="C2" s="12">
        <f>IFERROR(__xludf.DUMMYFUNCTION("""COMPUTED_VALUE"""),1.0)</f>
        <v>1</v>
      </c>
      <c r="D2" s="12" t="str">
        <f>IFERROR(__xludf.DUMMYFUNCTION("""COMPUTED_VALUE"""),"Matt")</f>
        <v>Matt</v>
      </c>
      <c r="E2" s="12" t="str">
        <f>IFERROR(__xludf.DUMMYFUNCTION("""COMPUTED_VALUE"""),"Morriss")</f>
        <v>Morriss</v>
      </c>
      <c r="F2" s="12" t="str">
        <f>IFERROR(__xludf.DUMMYFUNCTION("""COMPUTED_VALUE"""),"8458 Big Cypress Ct")</f>
        <v>8458 Big Cypress Ct</v>
      </c>
      <c r="G2" s="12" t="str">
        <f>IFERROR(__xludf.DUMMYFUNCTION("""COMPUTED_VALUE"""),"Fort Worth")</f>
        <v>Fort Worth</v>
      </c>
      <c r="H2" s="12" t="str">
        <f>IFERROR(__xludf.DUMMYFUNCTION("""COMPUTED_VALUE"""),"817-821-1637")</f>
        <v>817-821-1637</v>
      </c>
      <c r="I2" s="12" t="str">
        <f>IFERROR(__xludf.DUMMYFUNCTION("""COMPUTED_VALUE"""),"blackhorse@hopocalypse.org")</f>
        <v>blackhorse@hopocalypse.org</v>
      </c>
      <c r="J2" s="12">
        <f>IFERROR(__xludf.DUMMYFUNCTION("""COMPUTED_VALUE"""),5.0)</f>
        <v>5</v>
      </c>
      <c r="K2" s="12">
        <f>IFERROR(__xludf.DUMMYFUNCTION("""COMPUTED_VALUE"""),0.0)</f>
        <v>0</v>
      </c>
      <c r="N2" s="13"/>
    </row>
    <row r="3">
      <c r="A3" s="12" t="str">
        <f>IFERROR(__xludf.DUMMYFUNCTION("""COMPUTED_VALUE"""),"ACTIVE")</f>
        <v>ACTIVE</v>
      </c>
      <c r="B3" s="12" t="str">
        <f>IFERROR(__xludf.DUMMYFUNCTION("""COMPUTED_VALUE"""),"ACTIVE JUDGES RECOGNIZED")</f>
        <v>ACTIVE JUDGES RECOGNIZED</v>
      </c>
      <c r="C3" s="12">
        <f>IFERROR(__xludf.DUMMYFUNCTION("""COMPUTED_VALUE"""),0.0)</f>
        <v>0</v>
      </c>
      <c r="D3" s="12" t="str">
        <f>IFERROR(__xludf.DUMMYFUNCTION("""COMPUTED_VALUE"""),"Reni")</f>
        <v>Reni</v>
      </c>
      <c r="E3" s="12" t="str">
        <f>IFERROR(__xludf.DUMMYFUNCTION("""COMPUTED_VALUE"""),"Morriss")</f>
        <v>Morriss</v>
      </c>
      <c r="F3" s="12" t="str">
        <f>IFERROR(__xludf.DUMMYFUNCTION("""COMPUTED_VALUE"""),"8458 Big Cypress Ct")</f>
        <v>8458 Big Cypress Ct</v>
      </c>
      <c r="G3" s="12" t="str">
        <f>IFERROR(__xludf.DUMMYFUNCTION("""COMPUTED_VALUE"""),"Fort Worth")</f>
        <v>Fort Worth</v>
      </c>
      <c r="H3" s="12" t="str">
        <f>IFERROR(__xludf.DUMMYFUNCTION("""COMPUTED_VALUE"""),"817-915-8004")</f>
        <v>817-915-8004</v>
      </c>
      <c r="I3" s="12" t="str">
        <f>IFERROR(__xludf.DUMMYFUNCTION("""COMPUTED_VALUE"""),"renimorriss@gmail.com")</f>
        <v>renimorriss@gmail.com</v>
      </c>
      <c r="J3" s="12">
        <f>IFERROR(__xludf.DUMMYFUNCTION("""COMPUTED_VALUE"""),5.0)</f>
        <v>5</v>
      </c>
      <c r="K3" s="12">
        <f>IFERROR(__xludf.DUMMYFUNCTION("""COMPUTED_VALUE"""),0.0)</f>
        <v>0</v>
      </c>
      <c r="N3" s="13"/>
    </row>
    <row r="4">
      <c r="A4" s="12" t="str">
        <f>IFERROR(__xludf.DUMMYFUNCTION("""COMPUTED_VALUE"""),"ACTIVE")</f>
        <v>ACTIVE</v>
      </c>
      <c r="B4" s="12" t="str">
        <f>IFERROR(__xludf.DUMMYFUNCTION("""COMPUTED_VALUE"""),"ACTIVE JUDGES NON BJCP")</f>
        <v>ACTIVE JUDGES NON BJCP</v>
      </c>
      <c r="C4" s="12">
        <f>IFERROR(__xludf.DUMMYFUNCTION("""COMPUTED_VALUE"""),2.0)</f>
        <v>2</v>
      </c>
      <c r="D4" s="12" t="str">
        <f>IFERROR(__xludf.DUMMYFUNCTION("""COMPUTED_VALUE"""),"Stacy")</f>
        <v>Stacy</v>
      </c>
      <c r="E4" s="12" t="str">
        <f>IFERROR(__xludf.DUMMYFUNCTION("""COMPUTED_VALUE"""),"Myers")</f>
        <v>Myers</v>
      </c>
      <c r="F4" s="12" t="str">
        <f>IFERROR(__xludf.DUMMYFUNCTION("""COMPUTED_VALUE"""),"8471 Big Cypress Court")</f>
        <v>8471 Big Cypress Court</v>
      </c>
      <c r="G4" s="12" t="str">
        <f>IFERROR(__xludf.DUMMYFUNCTION("""COMPUTED_VALUE"""),"Fort Worth")</f>
        <v>Fort Worth</v>
      </c>
      <c r="H4" s="12" t="str">
        <f>IFERROR(__xludf.DUMMYFUNCTION("""COMPUTED_VALUE"""),"(817) 602-7906")</f>
        <v>(817) 602-7906</v>
      </c>
      <c r="I4" s="12" t="str">
        <f>IFERROR(__xludf.DUMMYFUNCTION("""COMPUTED_VALUE"""),"texasags92@gmail.com")</f>
        <v>texasags92@gmail.com</v>
      </c>
      <c r="J4" s="12">
        <f>IFERROR(__xludf.DUMMYFUNCTION("""COMPUTED_VALUE"""),3.0)</f>
        <v>3</v>
      </c>
      <c r="K4" s="12">
        <f>IFERROR(__xludf.DUMMYFUNCTION("""COMPUTED_VALUE"""),1.0)</f>
        <v>1</v>
      </c>
      <c r="N4" s="13"/>
    </row>
    <row r="5">
      <c r="A5" s="12" t="str">
        <f>IFERROR(__xludf.DUMMYFUNCTION("""COMPUTED_VALUE"""),"ACTIVE")</f>
        <v>ACTIVE</v>
      </c>
      <c r="B5" s="12" t="str">
        <f>IFERROR(__xludf.DUMMYFUNCTION("""COMPUTED_VALUE"""),"ACTIVE JUDGES CERTIFIED ")</f>
        <v>ACTIVE JUDGES CERTIFIED </v>
      </c>
      <c r="C5" s="12">
        <f>IFERROR(__xludf.DUMMYFUNCTION("""COMPUTED_VALUE"""),1.0)</f>
        <v>1</v>
      </c>
      <c r="D5" s="12" t="str">
        <f>IFERROR(__xludf.DUMMYFUNCTION("""COMPUTED_VALUE"""),"John")</f>
        <v>John</v>
      </c>
      <c r="E5" s="12" t="str">
        <f>IFERROR(__xludf.DUMMYFUNCTION("""COMPUTED_VALUE"""),"Shank")</f>
        <v>Shank</v>
      </c>
      <c r="F5" s="12" t="str">
        <f>IFERROR(__xludf.DUMMYFUNCTION("""COMPUTED_VALUE"""),"1208 Sunrise Dr.")</f>
        <v>1208 Sunrise Dr.</v>
      </c>
      <c r="G5" s="12" t="str">
        <f>IFERROR(__xludf.DUMMYFUNCTION("""COMPUTED_VALUE"""),"Keller")</f>
        <v>Keller</v>
      </c>
      <c r="H5" s="12" t="str">
        <f>IFERROR(__xludf.DUMMYFUNCTION("""COMPUTED_VALUE"""),"817-431-0492")</f>
        <v>817-431-0492</v>
      </c>
      <c r="I5" s="12" t="str">
        <f>IFERROR(__xludf.DUMMYFUNCTION("""COMPUTED_VALUE"""),"Nanuk099@msn.com")</f>
        <v>Nanuk099@msn.com</v>
      </c>
      <c r="J5" s="12">
        <f>IFERROR(__xludf.DUMMYFUNCTION("""COMPUTED_VALUE"""),3.0)</f>
        <v>3</v>
      </c>
      <c r="K5" s="12">
        <f>IFERROR(__xludf.DUMMYFUNCTION("""COMPUTED_VALUE"""),4.0)</f>
        <v>4</v>
      </c>
      <c r="N5" s="13"/>
    </row>
    <row r="6">
      <c r="A6" s="12" t="str">
        <f>IFERROR(__xludf.DUMMYFUNCTION("""COMPUTED_VALUE"""),"ACTIVE")</f>
        <v>ACTIVE</v>
      </c>
      <c r="B6" s="12" t="str">
        <f>IFERROR(__xludf.DUMMYFUNCTION("""COMPUTED_VALUE"""),"ACTIVE JUDGES CERTIFIED ")</f>
        <v>ACTIVE JUDGES CERTIFIED </v>
      </c>
      <c r="C6" s="12">
        <f>IFERROR(__xludf.DUMMYFUNCTION("""COMPUTED_VALUE"""),1.0)</f>
        <v>1</v>
      </c>
      <c r="D6" s="12" t="str">
        <f>IFERROR(__xludf.DUMMYFUNCTION("""COMPUTED_VALUE"""),"Mike")</f>
        <v>Mike</v>
      </c>
      <c r="E6" s="12" t="str">
        <f>IFERROR(__xludf.DUMMYFUNCTION("""COMPUTED_VALUE"""),"Treadway")</f>
        <v>Treadway</v>
      </c>
      <c r="F6" s="12" t="str">
        <f>IFERROR(__xludf.DUMMYFUNCTION("""COMPUTED_VALUE"""),"749 W. Park Ct.")</f>
        <v>749 W. Park Ct.</v>
      </c>
      <c r="G6" s="12" t="str">
        <f>IFERROR(__xludf.DUMMYFUNCTION("""COMPUTED_VALUE"""),"Keller")</f>
        <v>Keller</v>
      </c>
      <c r="H6" s="12" t="str">
        <f>IFERROR(__xludf.DUMMYFUNCTION("""COMPUTED_VALUE"""),"940-206-9837")</f>
        <v>940-206-9837</v>
      </c>
      <c r="I6" s="12" t="str">
        <f>IFERROR(__xludf.DUMMYFUNCTION("""COMPUTED_VALUE"""),"mike.treadway@gmail.com")</f>
        <v>mike.treadway@gmail.com</v>
      </c>
      <c r="J6" s="12">
        <f>IFERROR(__xludf.DUMMYFUNCTION("""COMPUTED_VALUE"""),4.0)</f>
        <v>4</v>
      </c>
      <c r="K6" s="12">
        <f>IFERROR(__xludf.DUMMYFUNCTION("""COMPUTED_VALUE"""),4.0)</f>
        <v>4</v>
      </c>
      <c r="N6" s="13"/>
    </row>
    <row r="7">
      <c r="A7" s="12" t="str">
        <f>IFERROR(__xludf.DUMMYFUNCTION("""COMPUTED_VALUE"""),"ACTIVE")</f>
        <v>ACTIVE</v>
      </c>
      <c r="B7" s="12" t="str">
        <f>IFERROR(__xludf.DUMMYFUNCTION("""COMPUTED_VALUE"""),"ACTIVE JUDGES NATIONAL")</f>
        <v>ACTIVE JUDGES NATIONAL</v>
      </c>
      <c r="C7" s="12">
        <f>IFERROR(__xludf.DUMMYFUNCTION("""COMPUTED_VALUE"""),5.0)</f>
        <v>5</v>
      </c>
      <c r="D7" s="12" t="str">
        <f>IFERROR(__xludf.DUMMYFUNCTION("""COMPUTED_VALUE"""),"2")</f>
        <v>2</v>
      </c>
      <c r="E7" s="12" t="str">
        <f>IFERROR(__xludf.DUMMYFUNCTION("""COMPUTED_VALUE"""),"LaPointe")</f>
        <v>LaPointe</v>
      </c>
      <c r="F7" s="12" t="str">
        <f>IFERROR(__xludf.DUMMYFUNCTION("""COMPUTED_VALUE"""),"4820 Dogleg Drive")</f>
        <v>4820 Dogleg Drive</v>
      </c>
      <c r="G7" s="12" t="str">
        <f>IFERROR(__xludf.DUMMYFUNCTION("""COMPUTED_VALUE"""),"Halton City")</f>
        <v>Halton City</v>
      </c>
      <c r="H7" s="12" t="str">
        <f>IFERROR(__xludf.DUMMYFUNCTION("""COMPUTED_VALUE"""),"817-291-0056")</f>
        <v>817-291-0056</v>
      </c>
      <c r="I7" s="12"/>
      <c r="J7" s="12">
        <f>IFERROR(__xludf.DUMMYFUNCTION("""COMPUTED_VALUE"""),2.0)</f>
        <v>2</v>
      </c>
      <c r="K7" s="12">
        <f>IFERROR(__xludf.DUMMYFUNCTION("""COMPUTED_VALUE"""),5.0)</f>
        <v>5</v>
      </c>
      <c r="N7" s="13"/>
    </row>
    <row r="8">
      <c r="A8" s="12" t="str">
        <f>IFERROR(__xludf.DUMMYFUNCTION("""COMPUTED_VALUE"""),"ACTIVE")</f>
        <v>ACTIVE</v>
      </c>
      <c r="B8" s="12" t="str">
        <f>IFERROR(__xludf.DUMMYFUNCTION("""COMPUTED_VALUE"""),"ACTIVE JUDGES NON BJCP")</f>
        <v>ACTIVE JUDGES NON BJCP</v>
      </c>
      <c r="C8" s="12">
        <f>IFERROR(__xludf.DUMMYFUNCTION("""COMPUTED_VALUE"""),2.0)</f>
        <v>2</v>
      </c>
      <c r="D8" s="12" t="str">
        <f>IFERROR(__xludf.DUMMYFUNCTION("""COMPUTED_VALUE"""),"Steve")</f>
        <v>Steve</v>
      </c>
      <c r="E8" s="12" t="str">
        <f>IFERROR(__xludf.DUMMYFUNCTION("""COMPUTED_VALUE"""),"Ballantyne")</f>
        <v>Ballantyne</v>
      </c>
      <c r="F8" s="12" t="str">
        <f>IFERROR(__xludf.DUMMYFUNCTION("""COMPUTED_VALUE"""),"577 Camber St")</f>
        <v>577 Camber St</v>
      </c>
      <c r="G8" s="12" t="str">
        <f>IFERROR(__xludf.DUMMYFUNCTION("""COMPUTED_VALUE"""),"Saginaw")</f>
        <v>Saginaw</v>
      </c>
      <c r="H8" s="12" t="str">
        <f>IFERROR(__xludf.DUMMYFUNCTION("""COMPUTED_VALUE"""),"(651) 528-1680")</f>
        <v>(651) 528-1680</v>
      </c>
      <c r="I8" s="12" t="str">
        <f>IFERROR(__xludf.DUMMYFUNCTION("""COMPUTED_VALUE"""),"slijb16@yahoo.com")</f>
        <v>slijb16@yahoo.com</v>
      </c>
      <c r="J8" s="12">
        <f>IFERROR(__xludf.DUMMYFUNCTION("""COMPUTED_VALUE"""),8.0)</f>
        <v>8</v>
      </c>
      <c r="K8" s="12">
        <f>IFERROR(__xludf.DUMMYFUNCTION("""COMPUTED_VALUE"""),7.0)</f>
        <v>7</v>
      </c>
      <c r="N8" s="13"/>
    </row>
    <row r="9">
      <c r="A9" s="12" t="str">
        <f>IFERROR(__xludf.DUMMYFUNCTION("""COMPUTED_VALUE"""),"ACTIVE")</f>
        <v>ACTIVE</v>
      </c>
      <c r="B9" s="12" t="str">
        <f>IFERROR(__xludf.DUMMYFUNCTION("""COMPUTED_VALUE"""),"ACTIVE JUDGES CERTIFIED ")</f>
        <v>ACTIVE JUDGES CERTIFIED </v>
      </c>
      <c r="C9" s="12">
        <f>IFERROR(__xludf.DUMMYFUNCTION("""COMPUTED_VALUE"""),1.0)</f>
        <v>1</v>
      </c>
      <c r="D9" s="12" t="str">
        <f>IFERROR(__xludf.DUMMYFUNCTION("""COMPUTED_VALUE"""),"Vicki")</f>
        <v>Vicki</v>
      </c>
      <c r="E9" s="12" t="str">
        <f>IFERROR(__xludf.DUMMYFUNCTION("""COMPUTED_VALUE"""),"Brown")</f>
        <v>Brown</v>
      </c>
      <c r="F9" s="12" t="str">
        <f>IFERROR(__xludf.DUMMYFUNCTION("""COMPUTED_VALUE"""),"5032 Ridgeview Ct")</f>
        <v>5032 Ridgeview Ct</v>
      </c>
      <c r="G9" s="12" t="str">
        <f>IFERROR(__xludf.DUMMYFUNCTION("""COMPUTED_VALUE"""),"North Richland Hills")</f>
        <v>North Richland Hills</v>
      </c>
      <c r="H9" s="12" t="str">
        <f>IFERROR(__xludf.DUMMYFUNCTION("""COMPUTED_VALUE"""),"817-581-8509")</f>
        <v>817-581-8509</v>
      </c>
      <c r="I9" s="12" t="str">
        <f>IFERROR(__xludf.DUMMYFUNCTION("""COMPUTED_VALUE"""),"vmbrown@flash.net")</f>
        <v>vmbrown@flash.net</v>
      </c>
      <c r="J9" s="12">
        <f>IFERROR(__xludf.DUMMYFUNCTION("""COMPUTED_VALUE"""),8.0)</f>
        <v>8</v>
      </c>
      <c r="K9" s="12">
        <f>IFERROR(__xludf.DUMMYFUNCTION("""COMPUTED_VALUE"""),7.0)</f>
        <v>7</v>
      </c>
      <c r="N9" s="13"/>
    </row>
    <row r="10">
      <c r="A10" s="12" t="str">
        <f>IFERROR(__xludf.DUMMYFUNCTION("""COMPUTED_VALUE"""),"ACTIVE")</f>
        <v>ACTIVE</v>
      </c>
      <c r="B10" s="12" t="str">
        <f>IFERROR(__xludf.DUMMYFUNCTION("""COMPUTED_VALUE"""),"ACTIVE JUDGES CERTIFIED ")</f>
        <v>ACTIVE JUDGES CERTIFIED </v>
      </c>
      <c r="C10" s="12">
        <f>IFERROR(__xludf.DUMMYFUNCTION("""COMPUTED_VALUE"""),1.0)</f>
        <v>1</v>
      </c>
      <c r="D10" s="12" t="str">
        <f>IFERROR(__xludf.DUMMYFUNCTION("""COMPUTED_VALUE"""),"Steven")</f>
        <v>Steven</v>
      </c>
      <c r="E10" s="12" t="str">
        <f>IFERROR(__xludf.DUMMYFUNCTION("""COMPUTED_VALUE"""),"Brown")</f>
        <v>Brown</v>
      </c>
      <c r="F10" s="12" t="str">
        <f>IFERROR(__xludf.DUMMYFUNCTION("""COMPUTED_VALUE"""),"5032 Ridgeview Ct")</f>
        <v>5032 Ridgeview Ct</v>
      </c>
      <c r="G10" s="12" t="str">
        <f>IFERROR(__xludf.DUMMYFUNCTION("""COMPUTED_VALUE"""),"North Richland Hills")</f>
        <v>North Richland Hills</v>
      </c>
      <c r="H10" s="12" t="str">
        <f>IFERROR(__xludf.DUMMYFUNCTION("""COMPUTED_VALUE"""),"(817) 368-0892")</f>
        <v>(817) 368-0892</v>
      </c>
      <c r="I10" s="12" t="str">
        <f>IFERROR(__xludf.DUMMYFUNCTION("""COMPUTED_VALUE"""),"slb@flash.net")</f>
        <v>slb@flash.net</v>
      </c>
      <c r="J10" s="12">
        <f>IFERROR(__xludf.DUMMYFUNCTION("""COMPUTED_VALUE"""),8.0)</f>
        <v>8</v>
      </c>
      <c r="K10" s="12">
        <f>IFERROR(__xludf.DUMMYFUNCTION("""COMPUTED_VALUE"""),7.0)</f>
        <v>7</v>
      </c>
      <c r="N10" s="13"/>
    </row>
    <row r="11">
      <c r="A11" s="12" t="str">
        <f>IFERROR(__xludf.DUMMYFUNCTION("""COMPUTED_VALUE"""),"ACTIVE")</f>
        <v>ACTIVE</v>
      </c>
      <c r="B11" s="12" t="str">
        <f>IFERROR(__xludf.DUMMYFUNCTION("""COMPUTED_VALUE"""),"ACTIVE JUDGES NATIONAL")</f>
        <v>ACTIVE JUDGES NATIONAL</v>
      </c>
      <c r="C11" s="12">
        <f>IFERROR(__xludf.DUMMYFUNCTION("""COMPUTED_VALUE"""),1.0)</f>
        <v>1</v>
      </c>
      <c r="D11" s="12" t="str">
        <f>IFERROR(__xludf.DUMMYFUNCTION("""COMPUTED_VALUE"""),"James")</f>
        <v>James</v>
      </c>
      <c r="E11" s="12" t="str">
        <f>IFERROR(__xludf.DUMMYFUNCTION("""COMPUTED_VALUE"""),"Lallande")</f>
        <v>Lallande</v>
      </c>
      <c r="F11" s="12" t="str">
        <f>IFERROR(__xludf.DUMMYFUNCTION("""COMPUTED_VALUE"""),"10617 Big Oak Drive")</f>
        <v>10617 Big Oak Drive</v>
      </c>
      <c r="G11" s="12" t="str">
        <f>IFERROR(__xludf.DUMMYFUNCTION("""COMPUTED_VALUE"""),"Fort Worth")</f>
        <v>Fort Worth</v>
      </c>
      <c r="H11" s="12" t="str">
        <f>IFERROR(__xludf.DUMMYFUNCTION("""COMPUTED_VALUE"""),"817-907-6599")</f>
        <v>817-907-6599</v>
      </c>
      <c r="I11" s="12" t="str">
        <f>IFERROR(__xludf.DUMMYFUNCTION("""COMPUTED_VALUE"""),"jameslallande@gmail.com")</f>
        <v>jameslallande@gmail.com</v>
      </c>
      <c r="J11" s="12">
        <f>IFERROR(__xludf.DUMMYFUNCTION("""COMPUTED_VALUE"""),9.0)</f>
        <v>9</v>
      </c>
      <c r="K11" s="12">
        <f>IFERROR(__xludf.DUMMYFUNCTION("""COMPUTED_VALUE"""),7.0)</f>
        <v>7</v>
      </c>
      <c r="N11" s="13"/>
    </row>
    <row r="12">
      <c r="A12" s="12" t="str">
        <f>IFERROR(__xludf.DUMMYFUNCTION("""COMPUTED_VALUE"""),"ACTIVE")</f>
        <v>ACTIVE</v>
      </c>
      <c r="B12" s="12" t="str">
        <f>IFERROR(__xludf.DUMMYFUNCTION("""COMPUTED_VALUE"""),"ACTIVE JUDGES CERTIFIED ")</f>
        <v>ACTIVE JUDGES CERTIFIED </v>
      </c>
      <c r="C12" s="12">
        <f>IFERROR(__xludf.DUMMYFUNCTION("""COMPUTED_VALUE"""),1.0)</f>
        <v>1</v>
      </c>
      <c r="D12" s="12" t="str">
        <f>IFERROR(__xludf.DUMMYFUNCTION("""COMPUTED_VALUE"""),"Kevin")</f>
        <v>Kevin</v>
      </c>
      <c r="E12" s="12" t="str">
        <f>IFERROR(__xludf.DUMMYFUNCTION("""COMPUTED_VALUE"""),"Brooker")</f>
        <v>Brooker</v>
      </c>
      <c r="F12" s="12" t="str">
        <f>IFERROR(__xludf.DUMMYFUNCTION("""COMPUTED_VALUE"""),"1035 Trail Ridge Court")</f>
        <v>1035 Trail Ridge Court</v>
      </c>
      <c r="G12" s="12" t="str">
        <f>IFERROR(__xludf.DUMMYFUNCTION("""COMPUTED_VALUE"""),"Keller")</f>
        <v>Keller</v>
      </c>
      <c r="H12" s="12" t="str">
        <f>IFERROR(__xludf.DUMMYFUNCTION("""COMPUTED_VALUE"""),"817-403-5938")</f>
        <v>817-403-5938</v>
      </c>
      <c r="I12" s="12" t="str">
        <f>IFERROR(__xludf.DUMMYFUNCTION("""COMPUTED_VALUE"""),"krbrooker@verizon.net")</f>
        <v>krbrooker@verizon.net</v>
      </c>
      <c r="J12" s="12">
        <f>IFERROR(__xludf.DUMMYFUNCTION("""COMPUTED_VALUE"""),1.0)</f>
        <v>1</v>
      </c>
      <c r="K12" s="12">
        <f>IFERROR(__xludf.DUMMYFUNCTION("""COMPUTED_VALUE"""),8.0)</f>
        <v>8</v>
      </c>
      <c r="N12" s="13"/>
    </row>
    <row r="13">
      <c r="A13" s="12" t="str">
        <f>IFERROR(__xludf.DUMMYFUNCTION("""COMPUTED_VALUE"""),"ACTIVE")</f>
        <v>ACTIVE</v>
      </c>
      <c r="B13" s="12" t="str">
        <f>IFERROR(__xludf.DUMMYFUNCTION("""COMPUTED_VALUE"""),"ACTIVE JUDGES NON BJCP")</f>
        <v>ACTIVE JUDGES NON BJCP</v>
      </c>
      <c r="C13" s="12">
        <f>IFERROR(__xludf.DUMMYFUNCTION("""COMPUTED_VALUE"""),2.0)</f>
        <v>2</v>
      </c>
      <c r="D13" s="12" t="str">
        <f>IFERROR(__xludf.DUMMYFUNCTION("""COMPUTED_VALUE"""),"Brandon")</f>
        <v>Brandon</v>
      </c>
      <c r="E13" s="12" t="str">
        <f>IFERROR(__xludf.DUMMYFUNCTION("""COMPUTED_VALUE"""),"Melton")</f>
        <v>Melton</v>
      </c>
      <c r="F13" s="12" t="str">
        <f>IFERROR(__xludf.DUMMYFUNCTION("""COMPUTED_VALUE"""),"3505 Katrine St")</f>
        <v>3505 Katrine St</v>
      </c>
      <c r="G13" s="12" t="str">
        <f>IFERROR(__xludf.DUMMYFUNCTION("""COMPUTED_VALUE"""),"Haltom City")</f>
        <v>Haltom City</v>
      </c>
      <c r="H13" s="12"/>
      <c r="I13" s="12" t="str">
        <f>IFERROR(__xludf.DUMMYFUNCTION("""COMPUTED_VALUE"""),"inchesofmercury@yahoo.com")</f>
        <v>inchesofmercury@yahoo.com</v>
      </c>
      <c r="J13" s="12">
        <f>IFERROR(__xludf.DUMMYFUNCTION("""COMPUTED_VALUE"""),3.0)</f>
        <v>3</v>
      </c>
      <c r="K13" s="12">
        <f>IFERROR(__xludf.DUMMYFUNCTION("""COMPUTED_VALUE"""),8.0)</f>
        <v>8</v>
      </c>
      <c r="N13" s="13"/>
    </row>
    <row r="14">
      <c r="A14" s="12" t="str">
        <f>IFERROR(__xludf.DUMMYFUNCTION("""COMPUTED_VALUE"""),"ACTIVE")</f>
        <v>ACTIVE</v>
      </c>
      <c r="B14" s="12" t="str">
        <f>IFERROR(__xludf.DUMMYFUNCTION("""COMPUTED_VALUE"""),"ACTIVE JUDGES NON BJCP")</f>
        <v>ACTIVE JUDGES NON BJCP</v>
      </c>
      <c r="C14" s="12">
        <f>IFERROR(__xludf.DUMMYFUNCTION("""COMPUTED_VALUE"""),2.0)</f>
        <v>2</v>
      </c>
      <c r="D14" s="12" t="str">
        <f>IFERROR(__xludf.DUMMYFUNCTION("""COMPUTED_VALUE"""),"Jonathan")</f>
        <v>Jonathan</v>
      </c>
      <c r="E14" s="12" t="str">
        <f>IFERROR(__xludf.DUMMYFUNCTION("""COMPUTED_VALUE"""),"Rollins")</f>
        <v>Rollins</v>
      </c>
      <c r="F14" s="12" t="str">
        <f>IFERROR(__xludf.DUMMYFUNCTION("""COMPUTED_VALUE"""),"4912 Susan Lee Lane")</f>
        <v>4912 Susan Lee Lane</v>
      </c>
      <c r="G14" s="12" t="str">
        <f>IFERROR(__xludf.DUMMYFUNCTION("""COMPUTED_VALUE"""),"North Richland Hills")</f>
        <v>North Richland Hills</v>
      </c>
      <c r="H14" s="12" t="str">
        <f>IFERROR(__xludf.DUMMYFUNCTION("""COMPUTED_VALUE"""),"(817) 901-2768")</f>
        <v>(817) 901-2768</v>
      </c>
      <c r="I14" s="12" t="str">
        <f>IFERROR(__xludf.DUMMYFUNCTION("""COMPUTED_VALUE"""),"brewingporter@gmail.com")</f>
        <v>brewingporter@gmail.com</v>
      </c>
      <c r="J14" s="12">
        <f>IFERROR(__xludf.DUMMYFUNCTION("""COMPUTED_VALUE"""),3.0)</f>
        <v>3</v>
      </c>
      <c r="K14" s="12">
        <f>IFERROR(__xludf.DUMMYFUNCTION("""COMPUTED_VALUE"""),8.0)</f>
        <v>8</v>
      </c>
      <c r="N14" s="13"/>
    </row>
    <row r="15">
      <c r="A15" s="12" t="str">
        <f>IFERROR(__xludf.DUMMYFUNCTION("""COMPUTED_VALUE"""),"ACTIVE")</f>
        <v>ACTIVE</v>
      </c>
      <c r="B15" s="12" t="str">
        <f>IFERROR(__xludf.DUMMYFUNCTION("""COMPUTED_VALUE"""),"ACTIVE JUDGES NATIONAL")</f>
        <v>ACTIVE JUDGES NATIONAL</v>
      </c>
      <c r="C15" s="12">
        <f>IFERROR(__xludf.DUMMYFUNCTION("""COMPUTED_VALUE"""),1.0)</f>
        <v>1</v>
      </c>
      <c r="D15" s="12" t="str">
        <f>IFERROR(__xludf.DUMMYFUNCTION("""COMPUTED_VALUE"""),"Matt")</f>
        <v>Matt</v>
      </c>
      <c r="E15" s="12" t="str">
        <f>IFERROR(__xludf.DUMMYFUNCTION("""COMPUTED_VALUE"""),"Wilson")</f>
        <v>Wilson</v>
      </c>
      <c r="F15" s="12" t="str">
        <f>IFERROR(__xludf.DUMMYFUNCTION("""COMPUTED_VALUE"""),"1405 Melody Lane")</f>
        <v>1405 Melody Lane</v>
      </c>
      <c r="G15" s="12" t="str">
        <f>IFERROR(__xludf.DUMMYFUNCTION("""COMPUTED_VALUE"""),"Keller")</f>
        <v>Keller</v>
      </c>
      <c r="H15" s="12" t="str">
        <f>IFERROR(__xludf.DUMMYFUNCTION("""COMPUTED_VALUE"""),"8176839157")</f>
        <v>8176839157</v>
      </c>
      <c r="I15" s="12" t="str">
        <f>IFERROR(__xludf.DUMMYFUNCTION("""COMPUTED_VALUE"""),"mattengr1@gmail.com")</f>
        <v>mattengr1@gmail.com</v>
      </c>
      <c r="J15" s="12">
        <f>IFERROR(__xludf.DUMMYFUNCTION("""COMPUTED_VALUE"""),4.0)</f>
        <v>4</v>
      </c>
      <c r="K15" s="12">
        <f>IFERROR(__xludf.DUMMYFUNCTION("""COMPUTED_VALUE"""),9.0)</f>
        <v>9</v>
      </c>
      <c r="N15" s="13"/>
    </row>
    <row r="16">
      <c r="A16" s="12" t="str">
        <f>IFERROR(__xludf.DUMMYFUNCTION("""COMPUTED_VALUE"""),"ACTIVE")</f>
        <v>ACTIVE</v>
      </c>
      <c r="B16" s="12" t="str">
        <f>IFERROR(__xludf.DUMMYFUNCTION("""COMPUTED_VALUE"""),"ACTIVE JUDGES NATIONAL")</f>
        <v>ACTIVE JUDGES NATIONAL</v>
      </c>
      <c r="C16" s="12">
        <f>IFERROR(__xludf.DUMMYFUNCTION("""COMPUTED_VALUE"""),1.0)</f>
        <v>1</v>
      </c>
      <c r="D16" s="12" t="str">
        <f>IFERROR(__xludf.DUMMYFUNCTION("""COMPUTED_VALUE"""),"Brandon")</f>
        <v>Brandon</v>
      </c>
      <c r="E16" s="12" t="str">
        <f>IFERROR(__xludf.DUMMYFUNCTION("""COMPUTED_VALUE"""),"Martin")</f>
        <v>Martin</v>
      </c>
      <c r="F16" s="12" t="str">
        <f>IFERROR(__xludf.DUMMYFUNCTION("""COMPUTED_VALUE"""),"13313 Willow Creek Dr")</f>
        <v>13313 Willow Creek Dr</v>
      </c>
      <c r="G16" s="12" t="str">
        <f>IFERROR(__xludf.DUMMYFUNCTION("""COMPUTED_VALUE"""),"Haslet")</f>
        <v>Haslet</v>
      </c>
      <c r="H16" s="12" t="str">
        <f>IFERROR(__xludf.DUMMYFUNCTION("""COMPUTED_VALUE"""),"682-438-8607")</f>
        <v>682-438-8607</v>
      </c>
      <c r="I16" s="12" t="str">
        <f>IFERROR(__xludf.DUMMYFUNCTION("""COMPUTED_VALUE"""),"brandontherep@gmail.com")</f>
        <v>brandontherep@gmail.com</v>
      </c>
      <c r="J16" s="12">
        <f>IFERROR(__xludf.DUMMYFUNCTION("""COMPUTED_VALUE"""),4.0)</f>
        <v>4</v>
      </c>
      <c r="K16" s="12">
        <f>IFERROR(__xludf.DUMMYFUNCTION("""COMPUTED_VALUE"""),11.0)</f>
        <v>11</v>
      </c>
      <c r="N16" s="13"/>
    </row>
    <row r="17">
      <c r="A17" s="12" t="str">
        <f>IFERROR(__xludf.DUMMYFUNCTION("""COMPUTED_VALUE"""),"ACTIVE")</f>
        <v>ACTIVE</v>
      </c>
      <c r="B17" s="12" t="str">
        <f>IFERROR(__xludf.DUMMYFUNCTION("""COMPUTED_VALUE"""),"ACTIVE JUDGES NON BJCP")</f>
        <v>ACTIVE JUDGES NON BJCP</v>
      </c>
      <c r="C17" s="12">
        <f>IFERROR(__xludf.DUMMYFUNCTION("""COMPUTED_VALUE"""),2.0)</f>
        <v>2</v>
      </c>
      <c r="D17" s="12" t="str">
        <f>IFERROR(__xludf.DUMMYFUNCTION("""COMPUTED_VALUE"""),"Jonathan")</f>
        <v>Jonathan</v>
      </c>
      <c r="E17" s="12" t="str">
        <f>IFERROR(__xludf.DUMMYFUNCTION("""COMPUTED_VALUE"""),"Marut")</f>
        <v>Marut</v>
      </c>
      <c r="F17" s="12" t="str">
        <f>IFERROR(__xludf.DUMMYFUNCTION("""COMPUTED_VALUE"""),"2325 Aster Ave")</f>
        <v>2325 Aster Ave</v>
      </c>
      <c r="G17" s="12" t="str">
        <f>IFERROR(__xludf.DUMMYFUNCTION("""COMPUTED_VALUE"""),"Fort Worth")</f>
        <v>Fort Worth</v>
      </c>
      <c r="H17" s="12"/>
      <c r="I17" s="12" t="str">
        <f>IFERROR(__xludf.DUMMYFUNCTION("""COMPUTED_VALUE"""),"jkmarut@gmail.com")</f>
        <v>jkmarut@gmail.com</v>
      </c>
      <c r="J17" s="12">
        <f>IFERROR(__xludf.DUMMYFUNCTION("""COMPUTED_VALUE"""),2.0)</f>
        <v>2</v>
      </c>
      <c r="K17" s="12">
        <f>IFERROR(__xludf.DUMMYFUNCTION("""COMPUTED_VALUE"""),11.0)</f>
        <v>11</v>
      </c>
      <c r="N17" s="13"/>
    </row>
    <row r="18">
      <c r="A18" s="12" t="str">
        <f>IFERROR(__xludf.DUMMYFUNCTION("""COMPUTED_VALUE"""),"ACTIVE")</f>
        <v>ACTIVE</v>
      </c>
      <c r="B18" s="12" t="str">
        <f>IFERROR(__xludf.DUMMYFUNCTION("""COMPUTED_VALUE"""),"ACTIVE JUDGES NON BJCP")</f>
        <v>ACTIVE JUDGES NON BJCP</v>
      </c>
      <c r="C18" s="12">
        <f>IFERROR(__xludf.DUMMYFUNCTION("""COMPUTED_VALUE"""),2.0)</f>
        <v>2</v>
      </c>
      <c r="D18" s="12" t="str">
        <f>IFERROR(__xludf.DUMMYFUNCTION("""COMPUTED_VALUE"""),"Tim")</f>
        <v>Tim</v>
      </c>
      <c r="E18" s="12" t="str">
        <f>IFERROR(__xludf.DUMMYFUNCTION("""COMPUTED_VALUE"""),"Mercer")</f>
        <v>Mercer</v>
      </c>
      <c r="F18" s="12" t="str">
        <f>IFERROR(__xludf.DUMMYFUNCTION("""COMPUTED_VALUE"""),"1280 Handkerchief Way")</f>
        <v>1280 Handkerchief Way</v>
      </c>
      <c r="G18" s="12" t="str">
        <f>IFERROR(__xludf.DUMMYFUNCTION("""COMPUTED_VALUE"""),"Haslet")</f>
        <v>Haslet</v>
      </c>
      <c r="H18" s="12" t="str">
        <f>IFERROR(__xludf.DUMMYFUNCTION("""COMPUTED_VALUE"""),"(817) 229-7847")</f>
        <v>(817) 229-7847</v>
      </c>
      <c r="I18" s="12" t="str">
        <f>IFERROR(__xludf.DUMMYFUNCTION("""COMPUTED_VALUE"""),"tim.mercer@verizon.net")</f>
        <v>tim.mercer@verizon.net</v>
      </c>
      <c r="J18" s="12">
        <f>IFERROR(__xludf.DUMMYFUNCTION("""COMPUTED_VALUE"""),10.0)</f>
        <v>10</v>
      </c>
      <c r="K18" s="12">
        <f>IFERROR(__xludf.DUMMYFUNCTION("""COMPUTED_VALUE"""),11.0)</f>
        <v>11</v>
      </c>
      <c r="N18" s="13"/>
    </row>
    <row r="19">
      <c r="A19" s="12" t="str">
        <f>IFERROR(__xludf.DUMMYFUNCTION("""COMPUTED_VALUE"""),"ACTIVE")</f>
        <v>ACTIVE</v>
      </c>
      <c r="B19" s="12" t="str">
        <f>IFERROR(__xludf.DUMMYFUNCTION("""COMPUTED_VALUE"""),"ACTIVE JUDGES NON BJCP")</f>
        <v>ACTIVE JUDGES NON BJCP</v>
      </c>
      <c r="C19" s="12">
        <f>IFERROR(__xludf.DUMMYFUNCTION("""COMPUTED_VALUE"""),2.0)</f>
        <v>2</v>
      </c>
      <c r="D19" s="12" t="str">
        <f>IFERROR(__xludf.DUMMYFUNCTION("""COMPUTED_VALUE"""),"Sean")</f>
        <v>Sean</v>
      </c>
      <c r="E19" s="12" t="str">
        <f>IFERROR(__xludf.DUMMYFUNCTION("""COMPUTED_VALUE"""),"Vreeland")</f>
        <v>Vreeland</v>
      </c>
      <c r="F19" s="12" t="str">
        <f>IFERROR(__xludf.DUMMYFUNCTION("""COMPUTED_VALUE"""),"1913 Diamond Lake Trail")</f>
        <v>1913 Diamond Lake Trail</v>
      </c>
      <c r="G19" s="12" t="str">
        <f>IFERROR(__xludf.DUMMYFUNCTION("""COMPUTED_VALUE"""),"Justin")</f>
        <v>Justin</v>
      </c>
      <c r="H19" s="12"/>
      <c r="I19" s="12" t="str">
        <f>IFERROR(__xludf.DUMMYFUNCTION("""COMPUTED_VALUE"""),"sean.vreeland@gmail.com")</f>
        <v>sean.vreeland@gmail.com</v>
      </c>
      <c r="J19" s="12">
        <f>IFERROR(__xludf.DUMMYFUNCTION("""COMPUTED_VALUE"""),1.0)</f>
        <v>1</v>
      </c>
      <c r="K19" s="12">
        <f>IFERROR(__xludf.DUMMYFUNCTION("""COMPUTED_VALUE"""),16.0)</f>
        <v>16</v>
      </c>
      <c r="N19" s="13"/>
    </row>
    <row r="20">
      <c r="A20" s="12" t="str">
        <f>IFERROR(__xludf.DUMMYFUNCTION("""COMPUTED_VALUE"""),"ACTIVE")</f>
        <v>ACTIVE</v>
      </c>
      <c r="B20" s="12" t="str">
        <f>IFERROR(__xludf.DUMMYFUNCTION("""COMPUTED_VALUE"""),"ACTIVE JUDGES CERTIFIED ")</f>
        <v>ACTIVE JUDGES CERTIFIED </v>
      </c>
      <c r="C20" s="12">
        <f>IFERROR(__xludf.DUMMYFUNCTION("""COMPUTED_VALUE"""),1.0)</f>
        <v>1</v>
      </c>
      <c r="D20" s="12" t="str">
        <f>IFERROR(__xludf.DUMMYFUNCTION("""COMPUTED_VALUE"""),"Steve")</f>
        <v>Steve</v>
      </c>
      <c r="E20" s="12" t="str">
        <f>IFERROR(__xludf.DUMMYFUNCTION("""COMPUTED_VALUE"""),"Russell")</f>
        <v>Russell</v>
      </c>
      <c r="F20" s="12" t="str">
        <f>IFERROR(__xludf.DUMMYFUNCTION("""COMPUTED_VALUE"""),"8712 Maryland Ct  Denton, Tx 76207")</f>
        <v>8712 Maryland Ct  Denton, Tx 76207</v>
      </c>
      <c r="G20" s="12" t="str">
        <f>IFERROR(__xludf.DUMMYFUNCTION("""COMPUTED_VALUE"""),"Denton")</f>
        <v>Denton</v>
      </c>
      <c r="H20" s="12" t="str">
        <f>IFERROR(__xludf.DUMMYFUNCTION("""COMPUTED_VALUE"""),"1(407) 474-1234")</f>
        <v>1(407) 474-1234</v>
      </c>
      <c r="I20" s="12" t="str">
        <f>IFERROR(__xludf.DUMMYFUNCTION("""COMPUTED_VALUE"""),"steve.russell@russellpc.net")</f>
        <v>steve.russell@russellpc.net</v>
      </c>
      <c r="J20" s="12">
        <f>IFERROR(__xludf.DUMMYFUNCTION("""COMPUTED_VALUE"""),5.0)</f>
        <v>5</v>
      </c>
      <c r="K20" s="12">
        <f>IFERROR(__xludf.DUMMYFUNCTION("""COMPUTED_VALUE"""),23.0)</f>
        <v>23</v>
      </c>
      <c r="N20" s="13"/>
    </row>
    <row r="21">
      <c r="A21" s="12" t="str">
        <f>IFERROR(__xludf.DUMMYFUNCTION("""COMPUTED_VALUE"""),"ACTIVE")</f>
        <v>ACTIVE</v>
      </c>
      <c r="B21" s="12" t="str">
        <f>IFERROR(__xludf.DUMMYFUNCTION("""COMPUTED_VALUE"""),"ACTIVE JUDGES NON BJCP")</f>
        <v>ACTIVE JUDGES NON BJCP</v>
      </c>
      <c r="C21" s="12">
        <f>IFERROR(__xludf.DUMMYFUNCTION("""COMPUTED_VALUE"""),2.0)</f>
        <v>2</v>
      </c>
      <c r="D21" s="12" t="str">
        <f>IFERROR(__xludf.DUMMYFUNCTION("""COMPUTED_VALUE"""),"Michael")</f>
        <v>Michael</v>
      </c>
      <c r="E21" s="12" t="str">
        <f>IFERROR(__xludf.DUMMYFUNCTION("""COMPUTED_VALUE"""),"Moss")</f>
        <v>Moss</v>
      </c>
      <c r="F21" s="12" t="str">
        <f>IFERROR(__xludf.DUMMYFUNCTION("""COMPUTED_VALUE"""),"12532 Pepperidge Ave")</f>
        <v>12532 Pepperidge Ave</v>
      </c>
      <c r="G21" s="12" t="str">
        <f>IFERROR(__xludf.DUMMYFUNCTION("""COMPUTED_VALUE"""),"Denton")</f>
        <v>Denton</v>
      </c>
      <c r="H21" s="12"/>
      <c r="I21" s="12" t="str">
        <f>IFERROR(__xludf.DUMMYFUNCTION("""COMPUTED_VALUE"""),"thaimoss@hotmail.com")</f>
        <v>thaimoss@hotmail.com</v>
      </c>
      <c r="J21" s="12">
        <f>IFERROR(__xludf.DUMMYFUNCTION("""COMPUTED_VALUE"""),4.0)</f>
        <v>4</v>
      </c>
      <c r="K21" s="12">
        <f>IFERROR(__xludf.DUMMYFUNCTION("""COMPUTED_VALUE"""),24.0)</f>
        <v>24</v>
      </c>
      <c r="N21" s="13"/>
    </row>
    <row r="22">
      <c r="A22" s="12" t="str">
        <f>IFERROR(__xludf.DUMMYFUNCTION("""COMPUTED_VALUE"""),"ACTIVE")</f>
        <v>ACTIVE</v>
      </c>
      <c r="B22" s="12" t="str">
        <f>IFERROR(__xludf.DUMMYFUNCTION("""COMPUTED_VALUE"""),"ACTIVE JUDGES NON BJCP")</f>
        <v>ACTIVE JUDGES NON BJCP</v>
      </c>
      <c r="C22" s="12">
        <f>IFERROR(__xludf.DUMMYFUNCTION("""COMPUTED_VALUE"""),2.0)</f>
        <v>2</v>
      </c>
      <c r="D22" s="12" t="str">
        <f>IFERROR(__xludf.DUMMYFUNCTION("""COMPUTED_VALUE"""),"Jody")</f>
        <v>Jody</v>
      </c>
      <c r="E22" s="12" t="str">
        <f>IFERROR(__xludf.DUMMYFUNCTION("""COMPUTED_VALUE"""),"Cromeans")</f>
        <v>Cromeans</v>
      </c>
      <c r="F22" s="12" t="str">
        <f>IFERROR(__xludf.DUMMYFUNCTION("""COMPUTED_VALUE"""),"1008 Harbor Drive South")</f>
        <v>1008 Harbor Drive South</v>
      </c>
      <c r="G22" s="12" t="str">
        <f>IFERROR(__xludf.DUMMYFUNCTION("""COMPUTED_VALUE"""),"Azle")</f>
        <v>Azle</v>
      </c>
      <c r="H22" s="12" t="str">
        <f>IFERROR(__xludf.DUMMYFUNCTION("""COMPUTED_VALUE"""),"817-9333-2539")</f>
        <v>817-9333-2539</v>
      </c>
      <c r="I22" s="12" t="str">
        <f>IFERROR(__xludf.DUMMYFUNCTION("""COMPUTED_VALUE"""),"jwcromeans@bellflight.com")</f>
        <v>jwcromeans@bellflight.com</v>
      </c>
      <c r="J22" s="12">
        <f>IFERROR(__xludf.DUMMYFUNCTION("""COMPUTED_VALUE"""),5.0)</f>
        <v>5</v>
      </c>
      <c r="K22" s="12">
        <f>IFERROR(__xludf.DUMMYFUNCTION("""COMPUTED_VALUE"""),25.0)</f>
        <v>25</v>
      </c>
      <c r="N22" s="13"/>
    </row>
    <row r="23">
      <c r="A23" s="12" t="str">
        <f>IFERROR(__xludf.DUMMYFUNCTION("""COMPUTED_VALUE"""),"ACTIVE")</f>
        <v>ACTIVE</v>
      </c>
      <c r="B23" s="12" t="str">
        <f>IFERROR(__xludf.DUMMYFUNCTION("""COMPUTED_VALUE"""),"ACTIVE JUDGES CERTIFIED ")</f>
        <v>ACTIVE JUDGES CERTIFIED </v>
      </c>
      <c r="C23" s="12">
        <f>IFERROR(__xludf.DUMMYFUNCTION("""COMPUTED_VALUE"""),1.0)</f>
        <v>1</v>
      </c>
      <c r="D23" s="12" t="str">
        <f>IFERROR(__xludf.DUMMYFUNCTION("""COMPUTED_VALUE"""),"Ronnie")</f>
        <v>Ronnie</v>
      </c>
      <c r="E23" s="12" t="str">
        <f>IFERROR(__xludf.DUMMYFUNCTION("""COMPUTED_VALUE"""),"Tiner")</f>
        <v>Tiner</v>
      </c>
      <c r="F23" s="12" t="str">
        <f>IFERROR(__xludf.DUMMYFUNCTION("""COMPUTED_VALUE"""),"1434 Oakwood Dr")</f>
        <v>1434 Oakwood Dr</v>
      </c>
      <c r="G23" s="12" t="str">
        <f>IFERROR(__xludf.DUMMYFUNCTION("""COMPUTED_VALUE"""),"Stephenville")</f>
        <v>Stephenville</v>
      </c>
      <c r="H23" s="12" t="str">
        <f>IFERROR(__xludf.DUMMYFUNCTION("""COMPUTED_VALUE"""),"254-396-4338")</f>
        <v>254-396-4338</v>
      </c>
      <c r="I23" s="12" t="str">
        <f>IFERROR(__xludf.DUMMYFUNCTION("""COMPUTED_VALUE"""),"ronnie@rtdltech.com")</f>
        <v>ronnie@rtdltech.com</v>
      </c>
      <c r="J23" s="12">
        <f>IFERROR(__xludf.DUMMYFUNCTION("""COMPUTED_VALUE"""),3.0)</f>
        <v>3</v>
      </c>
      <c r="K23" s="12">
        <f>IFERROR(__xludf.DUMMYFUNCTION("""COMPUTED_VALUE"""),90.0)</f>
        <v>90</v>
      </c>
      <c r="N23" s="13"/>
    </row>
    <row r="24">
      <c r="N24" s="13"/>
    </row>
    <row r="25">
      <c r="N25" s="13"/>
    </row>
    <row r="26">
      <c r="N26" s="13"/>
    </row>
    <row r="27">
      <c r="N27" s="13"/>
    </row>
    <row r="28">
      <c r="N28" s="13"/>
    </row>
    <row r="29">
      <c r="N29" s="13"/>
    </row>
    <row r="30">
      <c r="N30" s="13"/>
    </row>
    <row r="31">
      <c r="N31" s="13"/>
    </row>
    <row r="32">
      <c r="N32" s="13"/>
    </row>
    <row r="33">
      <c r="N33" s="13"/>
    </row>
    <row r="34">
      <c r="N34" s="13"/>
    </row>
    <row r="35">
      <c r="N35" s="13"/>
    </row>
    <row r="36">
      <c r="N36" s="13"/>
    </row>
    <row r="37">
      <c r="N37" s="13"/>
    </row>
    <row r="38">
      <c r="N38" s="13"/>
    </row>
    <row r="39">
      <c r="N39" s="13"/>
    </row>
    <row r="40">
      <c r="N40" s="13"/>
    </row>
    <row r="41">
      <c r="N41" s="13"/>
    </row>
    <row r="42">
      <c r="N42" s="13"/>
    </row>
    <row r="43">
      <c r="N43" s="13"/>
    </row>
    <row r="44">
      <c r="N44" s="13"/>
    </row>
    <row r="45">
      <c r="N45" s="13"/>
    </row>
    <row r="46">
      <c r="N46" s="13"/>
    </row>
    <row r="47">
      <c r="N47" s="13"/>
    </row>
    <row r="48">
      <c r="N48" s="13"/>
    </row>
    <row r="49">
      <c r="N49" s="13"/>
    </row>
    <row r="50">
      <c r="N50" s="13"/>
    </row>
    <row r="51">
      <c r="N51" s="13"/>
    </row>
    <row r="52">
      <c r="N52" s="13"/>
    </row>
    <row r="53">
      <c r="N53" s="13"/>
    </row>
    <row r="54">
      <c r="N54" s="13"/>
    </row>
    <row r="55">
      <c r="N55" s="13"/>
    </row>
    <row r="56">
      <c r="N56" s="13"/>
    </row>
    <row r="57">
      <c r="N57" s="13"/>
    </row>
    <row r="58">
      <c r="N58" s="13"/>
    </row>
    <row r="59">
      <c r="N59" s="13"/>
    </row>
    <row r="60">
      <c r="N60" s="13"/>
    </row>
    <row r="61">
      <c r="N61" s="13"/>
    </row>
    <row r="62">
      <c r="N62" s="13"/>
    </row>
    <row r="63">
      <c r="N63" s="13"/>
    </row>
    <row r="64">
      <c r="N64" s="13"/>
    </row>
    <row r="65">
      <c r="N65" s="13"/>
    </row>
    <row r="66">
      <c r="N66" s="13"/>
    </row>
    <row r="67">
      <c r="N67" s="13"/>
    </row>
    <row r="68">
      <c r="N68" s="13"/>
    </row>
    <row r="69">
      <c r="N69" s="13"/>
    </row>
    <row r="70">
      <c r="N70" s="13"/>
    </row>
    <row r="71">
      <c r="N71" s="13"/>
    </row>
    <row r="72">
      <c r="N72" s="13"/>
    </row>
    <row r="73">
      <c r="N73" s="13"/>
    </row>
    <row r="74">
      <c r="N74" s="13"/>
    </row>
    <row r="75">
      <c r="N75" s="13"/>
    </row>
    <row r="76">
      <c r="N76" s="13"/>
    </row>
    <row r="77">
      <c r="N77" s="13"/>
    </row>
    <row r="78">
      <c r="N78" s="13"/>
    </row>
    <row r="79">
      <c r="N79" s="13"/>
    </row>
    <row r="80">
      <c r="N80" s="13"/>
    </row>
    <row r="81">
      <c r="N81" s="13"/>
    </row>
    <row r="82">
      <c r="N82" s="13"/>
    </row>
    <row r="83">
      <c r="N83" s="13"/>
    </row>
    <row r="84">
      <c r="N84" s="13"/>
    </row>
    <row r="85">
      <c r="N85" s="13"/>
    </row>
    <row r="86">
      <c r="N86" s="13"/>
    </row>
    <row r="87">
      <c r="N87" s="13"/>
    </row>
    <row r="88">
      <c r="N88" s="13"/>
    </row>
    <row r="89">
      <c r="N89" s="13"/>
    </row>
    <row r="90">
      <c r="N90" s="13"/>
    </row>
    <row r="91">
      <c r="N91" s="13"/>
    </row>
    <row r="92">
      <c r="N92" s="13"/>
    </row>
    <row r="93">
      <c r="N93" s="13"/>
    </row>
    <row r="94">
      <c r="N94" s="13"/>
    </row>
    <row r="95">
      <c r="N95" s="13"/>
    </row>
    <row r="96">
      <c r="N96" s="13"/>
    </row>
    <row r="97">
      <c r="N97" s="13"/>
    </row>
    <row r="98">
      <c r="N98" s="13"/>
    </row>
    <row r="99">
      <c r="N99" s="13"/>
    </row>
    <row r="100">
      <c r="N100" s="13"/>
    </row>
    <row r="101">
      <c r="N101" s="13"/>
    </row>
    <row r="102">
      <c r="N102" s="13"/>
    </row>
    <row r="103">
      <c r="N103" s="13"/>
    </row>
    <row r="104">
      <c r="N104" s="13"/>
    </row>
    <row r="105">
      <c r="N105" s="13"/>
    </row>
    <row r="106">
      <c r="N106" s="13"/>
    </row>
    <row r="107">
      <c r="N107" s="13"/>
    </row>
    <row r="108">
      <c r="N108" s="13"/>
    </row>
    <row r="109">
      <c r="N109" s="13"/>
    </row>
    <row r="110">
      <c r="N110" s="13"/>
    </row>
    <row r="111">
      <c r="N111" s="13"/>
    </row>
    <row r="112">
      <c r="N112" s="13"/>
    </row>
    <row r="113">
      <c r="N113" s="13"/>
    </row>
    <row r="114">
      <c r="N114" s="13"/>
    </row>
    <row r="115">
      <c r="N115" s="13"/>
    </row>
    <row r="116">
      <c r="N116" s="13"/>
    </row>
    <row r="117">
      <c r="N117" s="13"/>
    </row>
    <row r="118">
      <c r="N118" s="13"/>
    </row>
    <row r="119">
      <c r="N119" s="13"/>
    </row>
    <row r="120">
      <c r="N120" s="13"/>
    </row>
    <row r="121">
      <c r="N121" s="13"/>
    </row>
    <row r="122">
      <c r="N122" s="13"/>
    </row>
    <row r="123">
      <c r="N123" s="13"/>
    </row>
    <row r="124">
      <c r="N124" s="13"/>
    </row>
    <row r="125">
      <c r="N125" s="13"/>
    </row>
    <row r="126">
      <c r="N126" s="13"/>
    </row>
    <row r="127">
      <c r="N127" s="13"/>
    </row>
    <row r="128">
      <c r="N128" s="13"/>
    </row>
    <row r="129">
      <c r="N129" s="13"/>
    </row>
    <row r="130">
      <c r="N130" s="13"/>
    </row>
    <row r="131">
      <c r="N131" s="13"/>
    </row>
    <row r="132">
      <c r="N132" s="13"/>
    </row>
    <row r="133">
      <c r="N133" s="13"/>
    </row>
    <row r="134">
      <c r="N134" s="13"/>
    </row>
    <row r="135">
      <c r="N135" s="13"/>
    </row>
    <row r="136">
      <c r="N136" s="13"/>
    </row>
    <row r="137">
      <c r="N137" s="13"/>
    </row>
    <row r="138">
      <c r="N138" s="13"/>
    </row>
    <row r="139">
      <c r="N139" s="13"/>
    </row>
    <row r="140">
      <c r="N140" s="13"/>
    </row>
    <row r="141">
      <c r="N141" s="13"/>
    </row>
    <row r="142">
      <c r="N142" s="13"/>
    </row>
    <row r="143">
      <c r="N143" s="13"/>
    </row>
    <row r="144">
      <c r="N144" s="13"/>
    </row>
    <row r="145">
      <c r="N145" s="13"/>
    </row>
    <row r="146">
      <c r="N146" s="13"/>
    </row>
    <row r="147">
      <c r="N147" s="13"/>
    </row>
    <row r="148">
      <c r="N148" s="13"/>
    </row>
    <row r="149">
      <c r="N149" s="13"/>
    </row>
    <row r="150">
      <c r="N150" s="13"/>
    </row>
    <row r="151">
      <c r="N151" s="13"/>
    </row>
    <row r="152">
      <c r="N152" s="13"/>
    </row>
    <row r="153">
      <c r="N153" s="13"/>
    </row>
    <row r="154">
      <c r="N154" s="13"/>
    </row>
    <row r="155">
      <c r="N155" s="13"/>
    </row>
    <row r="156">
      <c r="N156" s="13"/>
    </row>
    <row r="157">
      <c r="N157" s="13"/>
    </row>
    <row r="158">
      <c r="N158" s="13"/>
    </row>
    <row r="159">
      <c r="N159" s="13"/>
    </row>
    <row r="160">
      <c r="N160" s="13"/>
    </row>
    <row r="161">
      <c r="N161" s="13"/>
    </row>
    <row r="162">
      <c r="N162" s="13"/>
    </row>
    <row r="163">
      <c r="N163" s="13"/>
    </row>
    <row r="164">
      <c r="N164" s="13"/>
    </row>
    <row r="165">
      <c r="N165" s="13"/>
    </row>
    <row r="166">
      <c r="N166" s="13"/>
    </row>
    <row r="167">
      <c r="N167" s="13"/>
    </row>
    <row r="168">
      <c r="N168" s="13"/>
    </row>
    <row r="169">
      <c r="N169" s="13"/>
    </row>
    <row r="170">
      <c r="N170" s="13"/>
    </row>
    <row r="171">
      <c r="N171" s="13"/>
    </row>
    <row r="172">
      <c r="N172" s="13"/>
    </row>
    <row r="173">
      <c r="N173" s="13"/>
    </row>
    <row r="174">
      <c r="N174" s="13"/>
    </row>
    <row r="175">
      <c r="N175" s="13"/>
    </row>
    <row r="176">
      <c r="N176" s="13"/>
    </row>
    <row r="177">
      <c r="N177" s="13"/>
    </row>
    <row r="178">
      <c r="N178" s="13"/>
    </row>
    <row r="179">
      <c r="N179" s="13"/>
    </row>
    <row r="180">
      <c r="N180" s="13"/>
    </row>
    <row r="181">
      <c r="N181" s="13"/>
    </row>
    <row r="182">
      <c r="N182" s="13"/>
    </row>
    <row r="183">
      <c r="N183" s="13"/>
    </row>
    <row r="184">
      <c r="N184" s="13"/>
    </row>
    <row r="185">
      <c r="N185" s="13"/>
    </row>
    <row r="186">
      <c r="N186" s="13"/>
    </row>
    <row r="187">
      <c r="N187" s="13"/>
    </row>
    <row r="188">
      <c r="N188" s="13"/>
    </row>
    <row r="189">
      <c r="N189" s="13"/>
    </row>
    <row r="190">
      <c r="N190" s="13"/>
    </row>
    <row r="191">
      <c r="N191" s="13"/>
    </row>
    <row r="192">
      <c r="N192" s="13"/>
    </row>
    <row r="193">
      <c r="N193" s="13"/>
    </row>
    <row r="194">
      <c r="N194" s="13"/>
    </row>
    <row r="195">
      <c r="N195" s="13"/>
    </row>
    <row r="196">
      <c r="N196" s="13"/>
    </row>
    <row r="197">
      <c r="N197" s="13"/>
    </row>
    <row r="198">
      <c r="N198" s="13"/>
    </row>
    <row r="199">
      <c r="N199" s="13"/>
    </row>
    <row r="200">
      <c r="N200" s="13"/>
    </row>
    <row r="201">
      <c r="N201" s="13"/>
    </row>
    <row r="202">
      <c r="N202" s="13"/>
    </row>
    <row r="203">
      <c r="N203" s="13"/>
    </row>
    <row r="204">
      <c r="N204" s="13"/>
    </row>
    <row r="205">
      <c r="N205" s="13"/>
    </row>
    <row r="206">
      <c r="N206" s="13"/>
    </row>
    <row r="207">
      <c r="N207" s="13"/>
    </row>
    <row r="208">
      <c r="N208" s="13"/>
    </row>
    <row r="209">
      <c r="N209" s="13"/>
    </row>
    <row r="210">
      <c r="N210" s="13"/>
    </row>
    <row r="211">
      <c r="N211" s="13"/>
    </row>
    <row r="212">
      <c r="N212" s="13"/>
    </row>
    <row r="213">
      <c r="N213" s="13"/>
    </row>
    <row r="214">
      <c r="N214" s="13"/>
    </row>
    <row r="215">
      <c r="N215" s="13"/>
    </row>
    <row r="216">
      <c r="N216" s="13"/>
    </row>
    <row r="217">
      <c r="N217" s="13"/>
    </row>
    <row r="218">
      <c r="N218" s="13"/>
    </row>
    <row r="219">
      <c r="N219" s="13"/>
    </row>
    <row r="220">
      <c r="N220" s="13"/>
    </row>
    <row r="221">
      <c r="N221" s="13"/>
    </row>
    <row r="222">
      <c r="N222" s="13"/>
    </row>
    <row r="223">
      <c r="N223" s="13"/>
    </row>
    <row r="224">
      <c r="N224" s="13"/>
    </row>
    <row r="225">
      <c r="N225" s="13"/>
    </row>
    <row r="226">
      <c r="N226" s="13"/>
    </row>
    <row r="227">
      <c r="N227" s="13"/>
    </row>
    <row r="228">
      <c r="N228" s="13"/>
    </row>
    <row r="229">
      <c r="N229" s="13"/>
    </row>
    <row r="230">
      <c r="N230" s="13"/>
    </row>
    <row r="231">
      <c r="N231" s="13"/>
    </row>
    <row r="232">
      <c r="N232" s="13"/>
    </row>
    <row r="233">
      <c r="N233" s="13"/>
    </row>
    <row r="234">
      <c r="N234" s="13"/>
    </row>
    <row r="235">
      <c r="N235" s="13"/>
    </row>
    <row r="236">
      <c r="N236" s="13"/>
    </row>
    <row r="237">
      <c r="N237" s="13"/>
    </row>
    <row r="238">
      <c r="N238" s="13"/>
    </row>
    <row r="239">
      <c r="N239" s="13"/>
    </row>
    <row r="240">
      <c r="N240" s="13"/>
    </row>
    <row r="241">
      <c r="N241" s="13"/>
    </row>
    <row r="242">
      <c r="N242" s="13"/>
    </row>
    <row r="243">
      <c r="N243" s="13"/>
    </row>
    <row r="244">
      <c r="N244" s="13"/>
    </row>
    <row r="245">
      <c r="N245" s="13"/>
    </row>
    <row r="246">
      <c r="N246" s="13"/>
    </row>
    <row r="247">
      <c r="N247" s="13"/>
    </row>
    <row r="248">
      <c r="N248" s="13"/>
    </row>
    <row r="249">
      <c r="N249" s="13"/>
    </row>
    <row r="250">
      <c r="N250" s="13"/>
    </row>
    <row r="251">
      <c r="N251" s="13"/>
    </row>
    <row r="252">
      <c r="N252" s="13"/>
    </row>
    <row r="253">
      <c r="N253" s="13"/>
    </row>
    <row r="254">
      <c r="N254" s="13"/>
    </row>
    <row r="255">
      <c r="N255" s="13"/>
    </row>
    <row r="256">
      <c r="N256" s="13"/>
    </row>
    <row r="257">
      <c r="N257" s="13"/>
    </row>
    <row r="258">
      <c r="N258" s="13"/>
    </row>
    <row r="259">
      <c r="N259" s="13"/>
    </row>
    <row r="260">
      <c r="N260" s="13"/>
    </row>
    <row r="261">
      <c r="N261" s="13"/>
    </row>
    <row r="262">
      <c r="N262" s="13"/>
    </row>
    <row r="263">
      <c r="N263" s="13"/>
    </row>
    <row r="264">
      <c r="N264" s="13"/>
    </row>
    <row r="265">
      <c r="N265" s="13"/>
    </row>
    <row r="266">
      <c r="N266" s="13"/>
    </row>
    <row r="267">
      <c r="N267" s="13"/>
    </row>
    <row r="268">
      <c r="N268" s="13"/>
    </row>
    <row r="269">
      <c r="N269" s="13"/>
    </row>
    <row r="270">
      <c r="N270" s="13"/>
    </row>
    <row r="271">
      <c r="N271" s="13"/>
    </row>
    <row r="272">
      <c r="N272" s="13"/>
    </row>
    <row r="273">
      <c r="N273" s="13"/>
    </row>
    <row r="274">
      <c r="N274" s="13"/>
    </row>
    <row r="275">
      <c r="N275" s="13"/>
    </row>
    <row r="276">
      <c r="N276" s="13"/>
    </row>
    <row r="277">
      <c r="N277" s="13"/>
    </row>
    <row r="278">
      <c r="N278" s="13"/>
    </row>
    <row r="279">
      <c r="N279" s="13"/>
    </row>
    <row r="280">
      <c r="N280" s="13"/>
    </row>
    <row r="281">
      <c r="N281" s="13"/>
    </row>
    <row r="282">
      <c r="N282" s="13"/>
    </row>
    <row r="283">
      <c r="N283" s="13"/>
    </row>
    <row r="284">
      <c r="N284" s="13"/>
    </row>
    <row r="285">
      <c r="N285" s="13"/>
    </row>
    <row r="286">
      <c r="N286" s="13"/>
    </row>
    <row r="287">
      <c r="N287" s="13"/>
    </row>
    <row r="288">
      <c r="N288" s="13"/>
    </row>
    <row r="289">
      <c r="N289" s="13"/>
    </row>
    <row r="290">
      <c r="N290" s="13"/>
    </row>
    <row r="291">
      <c r="N291" s="13"/>
    </row>
    <row r="292">
      <c r="N292" s="13"/>
    </row>
    <row r="293">
      <c r="N293" s="13"/>
    </row>
    <row r="294">
      <c r="N294" s="13"/>
    </row>
    <row r="295">
      <c r="N295" s="13"/>
    </row>
    <row r="296">
      <c r="N296" s="13"/>
    </row>
    <row r="297">
      <c r="N297" s="13"/>
    </row>
    <row r="298">
      <c r="N298" s="13"/>
    </row>
    <row r="299">
      <c r="N299" s="13"/>
    </row>
    <row r="300">
      <c r="N300" s="13"/>
    </row>
    <row r="301">
      <c r="N301" s="13"/>
    </row>
    <row r="302">
      <c r="N302" s="13"/>
    </row>
    <row r="303">
      <c r="N303" s="13"/>
    </row>
    <row r="304">
      <c r="N304" s="13"/>
    </row>
    <row r="305">
      <c r="N305" s="13"/>
    </row>
    <row r="306">
      <c r="N306" s="13"/>
    </row>
    <row r="307">
      <c r="N307" s="13"/>
    </row>
    <row r="308">
      <c r="N308" s="13"/>
    </row>
    <row r="309">
      <c r="N309" s="13"/>
    </row>
    <row r="310">
      <c r="N310" s="13"/>
    </row>
    <row r="311">
      <c r="N311" s="13"/>
    </row>
    <row r="312">
      <c r="N312" s="13"/>
    </row>
    <row r="313">
      <c r="N313" s="13"/>
    </row>
    <row r="314">
      <c r="N314" s="13"/>
    </row>
    <row r="315">
      <c r="N315" s="13"/>
    </row>
    <row r="316">
      <c r="N316" s="13"/>
    </row>
    <row r="317">
      <c r="N317" s="13"/>
    </row>
    <row r="318">
      <c r="N318" s="13"/>
    </row>
    <row r="319">
      <c r="N319" s="13"/>
    </row>
    <row r="320">
      <c r="N320" s="13"/>
    </row>
    <row r="321">
      <c r="N321" s="13"/>
    </row>
    <row r="322">
      <c r="N322" s="13"/>
    </row>
    <row r="323">
      <c r="N323" s="13"/>
    </row>
    <row r="324">
      <c r="N324" s="13"/>
    </row>
    <row r="325">
      <c r="N325" s="13"/>
    </row>
    <row r="326">
      <c r="N326" s="13"/>
    </row>
    <row r="327">
      <c r="N327" s="13"/>
    </row>
    <row r="328">
      <c r="N328" s="13"/>
    </row>
    <row r="329">
      <c r="N329" s="13"/>
    </row>
    <row r="330">
      <c r="N330" s="13"/>
    </row>
    <row r="331">
      <c r="N331" s="13"/>
    </row>
    <row r="332">
      <c r="N332" s="13"/>
    </row>
    <row r="333">
      <c r="N333" s="13"/>
    </row>
    <row r="334">
      <c r="N334" s="13"/>
    </row>
    <row r="335">
      <c r="N335" s="13"/>
    </row>
    <row r="336">
      <c r="N336" s="13"/>
    </row>
    <row r="337">
      <c r="N337" s="13"/>
    </row>
    <row r="338">
      <c r="N338" s="13"/>
    </row>
    <row r="339">
      <c r="N339" s="13"/>
    </row>
    <row r="340">
      <c r="N340" s="13"/>
    </row>
    <row r="341">
      <c r="N341" s="13"/>
    </row>
    <row r="342">
      <c r="N342" s="13"/>
    </row>
    <row r="343">
      <c r="N343" s="13"/>
    </row>
    <row r="344">
      <c r="N344" s="13"/>
    </row>
    <row r="345">
      <c r="N345" s="13"/>
    </row>
    <row r="346">
      <c r="N346" s="13"/>
    </row>
    <row r="347">
      <c r="N347" s="13"/>
    </row>
    <row r="348">
      <c r="N348" s="13"/>
    </row>
    <row r="349">
      <c r="N349" s="13"/>
    </row>
    <row r="350">
      <c r="N350" s="13"/>
    </row>
    <row r="351">
      <c r="N351" s="13"/>
    </row>
    <row r="352">
      <c r="N352" s="13"/>
    </row>
    <row r="353">
      <c r="N353" s="13"/>
    </row>
    <row r="354">
      <c r="N354" s="13"/>
    </row>
    <row r="355">
      <c r="N355" s="13"/>
    </row>
    <row r="356">
      <c r="N356" s="13"/>
    </row>
    <row r="357">
      <c r="N357" s="13"/>
    </row>
    <row r="358">
      <c r="N358" s="13"/>
    </row>
    <row r="359">
      <c r="N359" s="13"/>
    </row>
    <row r="360">
      <c r="N360" s="13"/>
    </row>
    <row r="361">
      <c r="N361" s="13"/>
    </row>
    <row r="362">
      <c r="N362" s="13"/>
    </row>
    <row r="363">
      <c r="N363" s="13"/>
    </row>
    <row r="364">
      <c r="N364" s="13"/>
    </row>
    <row r="365">
      <c r="N365" s="13"/>
    </row>
    <row r="366">
      <c r="N366" s="13"/>
    </row>
    <row r="367">
      <c r="N367" s="13"/>
    </row>
    <row r="368">
      <c r="N368" s="13"/>
    </row>
    <row r="369">
      <c r="N369" s="13"/>
    </row>
    <row r="370">
      <c r="N370" s="13"/>
    </row>
    <row r="371">
      <c r="N371" s="13"/>
    </row>
    <row r="372">
      <c r="N372" s="13"/>
    </row>
    <row r="373">
      <c r="N373" s="13"/>
    </row>
    <row r="374">
      <c r="N374" s="13"/>
    </row>
    <row r="375">
      <c r="N375" s="13"/>
    </row>
    <row r="376">
      <c r="N376" s="13"/>
    </row>
    <row r="377">
      <c r="N377" s="13"/>
    </row>
    <row r="378">
      <c r="N378" s="13"/>
    </row>
    <row r="379">
      <c r="N379" s="13"/>
    </row>
    <row r="380">
      <c r="N380" s="13"/>
    </row>
    <row r="381">
      <c r="N381" s="13"/>
    </row>
    <row r="382">
      <c r="N382" s="13"/>
    </row>
    <row r="383">
      <c r="N383" s="13"/>
    </row>
    <row r="384">
      <c r="N384" s="13"/>
    </row>
    <row r="385">
      <c r="N385" s="13"/>
    </row>
    <row r="386">
      <c r="N386" s="13"/>
    </row>
    <row r="387">
      <c r="N387" s="13"/>
    </row>
    <row r="388">
      <c r="N388" s="13"/>
    </row>
    <row r="389">
      <c r="N389" s="13"/>
    </row>
    <row r="390">
      <c r="N390" s="13"/>
    </row>
    <row r="391">
      <c r="N391" s="13"/>
    </row>
    <row r="392">
      <c r="N392" s="13"/>
    </row>
    <row r="393">
      <c r="N393" s="13"/>
    </row>
    <row r="394">
      <c r="N394" s="13"/>
    </row>
    <row r="395">
      <c r="N395" s="13"/>
    </row>
    <row r="396">
      <c r="N396" s="13"/>
    </row>
    <row r="397">
      <c r="N397" s="13"/>
    </row>
    <row r="398">
      <c r="N398" s="13"/>
    </row>
    <row r="399">
      <c r="N399" s="13"/>
    </row>
    <row r="400">
      <c r="N400" s="13"/>
    </row>
    <row r="401">
      <c r="N401" s="13"/>
    </row>
    <row r="402">
      <c r="N402" s="13"/>
    </row>
    <row r="403">
      <c r="N403" s="13"/>
    </row>
    <row r="404">
      <c r="N404" s="13"/>
    </row>
    <row r="405">
      <c r="N405" s="13"/>
    </row>
    <row r="406">
      <c r="N406" s="13"/>
    </row>
    <row r="407">
      <c r="N407" s="13"/>
    </row>
    <row r="408">
      <c r="N408" s="13"/>
    </row>
    <row r="409">
      <c r="N409" s="13"/>
    </row>
    <row r="410">
      <c r="N410" s="13"/>
    </row>
    <row r="411">
      <c r="N411" s="13"/>
    </row>
    <row r="412">
      <c r="N412" s="13"/>
    </row>
    <row r="413">
      <c r="N413" s="13"/>
    </row>
    <row r="414">
      <c r="N414" s="13"/>
    </row>
    <row r="415">
      <c r="N415" s="13"/>
    </row>
    <row r="416">
      <c r="N416" s="13"/>
    </row>
    <row r="417">
      <c r="N417" s="13"/>
    </row>
    <row r="418">
      <c r="N418" s="13"/>
    </row>
    <row r="419">
      <c r="N419" s="13"/>
    </row>
    <row r="420">
      <c r="N420" s="13"/>
    </row>
    <row r="421">
      <c r="N421" s="13"/>
    </row>
    <row r="422">
      <c r="N422" s="13"/>
    </row>
    <row r="423">
      <c r="N423" s="13"/>
    </row>
    <row r="424">
      <c r="N424" s="13"/>
    </row>
    <row r="425">
      <c r="N425" s="13"/>
    </row>
    <row r="426">
      <c r="N426" s="13"/>
    </row>
    <row r="427">
      <c r="N427" s="13"/>
    </row>
    <row r="428">
      <c r="N428" s="13"/>
    </row>
    <row r="429">
      <c r="N429" s="13"/>
    </row>
    <row r="430">
      <c r="N430" s="13"/>
    </row>
    <row r="431">
      <c r="N431" s="13"/>
    </row>
    <row r="432">
      <c r="N432" s="13"/>
    </row>
    <row r="433">
      <c r="N433" s="13"/>
    </row>
    <row r="434">
      <c r="N434" s="13"/>
    </row>
    <row r="435">
      <c r="N435" s="13"/>
    </row>
    <row r="436">
      <c r="N436" s="13"/>
    </row>
    <row r="437">
      <c r="N437" s="13"/>
    </row>
    <row r="438">
      <c r="N438" s="13"/>
    </row>
    <row r="439">
      <c r="N439" s="13"/>
    </row>
    <row r="440">
      <c r="N440" s="13"/>
    </row>
    <row r="441">
      <c r="N441" s="13"/>
    </row>
    <row r="442">
      <c r="N442" s="13"/>
    </row>
    <row r="443">
      <c r="N443" s="13"/>
    </row>
    <row r="444">
      <c r="N444" s="13"/>
    </row>
    <row r="445">
      <c r="N445" s="13"/>
    </row>
    <row r="446">
      <c r="N446" s="13"/>
    </row>
    <row r="447">
      <c r="N447" s="13"/>
    </row>
    <row r="448">
      <c r="N448" s="13"/>
    </row>
    <row r="449">
      <c r="N449" s="13"/>
    </row>
    <row r="450">
      <c r="N450" s="13"/>
    </row>
    <row r="451">
      <c r="N451" s="13"/>
    </row>
    <row r="452">
      <c r="N452" s="13"/>
    </row>
    <row r="453">
      <c r="N453" s="13"/>
    </row>
    <row r="454">
      <c r="N454" s="13"/>
    </row>
    <row r="455">
      <c r="N455" s="13"/>
    </row>
    <row r="456">
      <c r="N456" s="13"/>
    </row>
    <row r="457">
      <c r="N457" s="13"/>
    </row>
    <row r="458">
      <c r="N458" s="13"/>
    </row>
    <row r="459">
      <c r="N459" s="13"/>
    </row>
    <row r="460">
      <c r="N460" s="13"/>
    </row>
    <row r="461">
      <c r="N461" s="13"/>
    </row>
    <row r="462">
      <c r="N462" s="13"/>
    </row>
    <row r="463">
      <c r="N463" s="13"/>
    </row>
    <row r="464">
      <c r="N464" s="13"/>
    </row>
    <row r="465">
      <c r="N465" s="13"/>
    </row>
    <row r="466">
      <c r="N466" s="13"/>
    </row>
    <row r="467">
      <c r="N467" s="13"/>
    </row>
    <row r="468">
      <c r="N468" s="13"/>
    </row>
    <row r="469">
      <c r="N469" s="13"/>
    </row>
    <row r="470">
      <c r="N470" s="13"/>
    </row>
    <row r="471">
      <c r="N471" s="13"/>
    </row>
    <row r="472">
      <c r="N472" s="13"/>
    </row>
    <row r="473">
      <c r="N473" s="13"/>
    </row>
    <row r="474">
      <c r="N474" s="13"/>
    </row>
    <row r="475">
      <c r="N475" s="13"/>
    </row>
    <row r="476">
      <c r="N476" s="13"/>
    </row>
    <row r="477">
      <c r="N477" s="13"/>
    </row>
    <row r="478">
      <c r="N478" s="13"/>
    </row>
    <row r="479">
      <c r="N479" s="13"/>
    </row>
    <row r="480">
      <c r="N480" s="13"/>
    </row>
    <row r="481">
      <c r="N481" s="13"/>
    </row>
    <row r="482">
      <c r="N482" s="13"/>
    </row>
    <row r="483">
      <c r="N483" s="13"/>
    </row>
    <row r="484">
      <c r="N484" s="13"/>
    </row>
    <row r="485">
      <c r="N485" s="13"/>
    </row>
    <row r="486">
      <c r="N486" s="13"/>
    </row>
    <row r="487">
      <c r="N487" s="13"/>
    </row>
    <row r="488">
      <c r="N488" s="13"/>
    </row>
    <row r="489">
      <c r="N489" s="13"/>
    </row>
    <row r="490">
      <c r="N490" s="13"/>
    </row>
    <row r="491">
      <c r="N491" s="13"/>
    </row>
    <row r="492">
      <c r="N492" s="13"/>
    </row>
    <row r="493">
      <c r="N493" s="13"/>
    </row>
    <row r="494">
      <c r="N494" s="13"/>
    </row>
    <row r="495">
      <c r="N495" s="13"/>
    </row>
    <row r="496">
      <c r="N496" s="13"/>
    </row>
    <row r="497">
      <c r="N497" s="13"/>
    </row>
    <row r="498">
      <c r="N498" s="13"/>
    </row>
    <row r="499">
      <c r="N499" s="13"/>
    </row>
    <row r="500">
      <c r="N500" s="13"/>
    </row>
    <row r="501">
      <c r="N501" s="13"/>
    </row>
    <row r="502">
      <c r="N502" s="13"/>
    </row>
    <row r="503">
      <c r="N503" s="13"/>
    </row>
    <row r="504">
      <c r="N504" s="13"/>
    </row>
    <row r="505">
      <c r="N505" s="13"/>
    </row>
    <row r="506">
      <c r="N506" s="13"/>
    </row>
    <row r="507">
      <c r="N507" s="13"/>
    </row>
    <row r="508">
      <c r="N508" s="13"/>
    </row>
    <row r="509">
      <c r="N509" s="13"/>
    </row>
    <row r="510">
      <c r="N510" s="13"/>
    </row>
    <row r="511">
      <c r="N511" s="13"/>
    </row>
    <row r="512">
      <c r="N512" s="13"/>
    </row>
    <row r="513">
      <c r="N513" s="13"/>
    </row>
    <row r="514">
      <c r="N514" s="13"/>
    </row>
    <row r="515">
      <c r="N515" s="13"/>
    </row>
    <row r="516">
      <c r="N516" s="13"/>
    </row>
    <row r="517">
      <c r="N517" s="13"/>
    </row>
    <row r="518">
      <c r="N518" s="13"/>
    </row>
    <row r="519">
      <c r="N519" s="13"/>
    </row>
    <row r="520">
      <c r="N520" s="13"/>
    </row>
    <row r="521">
      <c r="N521" s="13"/>
    </row>
    <row r="522">
      <c r="N522" s="13"/>
    </row>
    <row r="523">
      <c r="N523" s="13"/>
    </row>
    <row r="524">
      <c r="N524" s="13"/>
    </row>
    <row r="525">
      <c r="N525" s="13"/>
    </row>
    <row r="526">
      <c r="N526" s="13"/>
    </row>
    <row r="527">
      <c r="N527" s="13"/>
    </row>
    <row r="528">
      <c r="N528" s="13"/>
    </row>
    <row r="529">
      <c r="N529" s="13"/>
    </row>
    <row r="530">
      <c r="N530" s="13"/>
    </row>
    <row r="531">
      <c r="N531" s="13"/>
    </row>
    <row r="532">
      <c r="N532" s="13"/>
    </row>
    <row r="533">
      <c r="N533" s="13"/>
    </row>
    <row r="534">
      <c r="N534" s="13"/>
    </row>
    <row r="535">
      <c r="N535" s="13"/>
    </row>
    <row r="536">
      <c r="N536" s="13"/>
    </row>
    <row r="537">
      <c r="N537" s="13"/>
    </row>
    <row r="538">
      <c r="N538" s="13"/>
    </row>
    <row r="539">
      <c r="N539" s="13"/>
    </row>
    <row r="540">
      <c r="N540" s="13"/>
    </row>
    <row r="541">
      <c r="N541" s="13"/>
    </row>
    <row r="542">
      <c r="N542" s="13"/>
    </row>
    <row r="543">
      <c r="N543" s="13"/>
    </row>
    <row r="544">
      <c r="N544" s="13"/>
    </row>
    <row r="545">
      <c r="N545" s="13"/>
    </row>
    <row r="546">
      <c r="N546" s="13"/>
    </row>
    <row r="547">
      <c r="N547" s="13"/>
    </row>
    <row r="548">
      <c r="N548" s="13"/>
    </row>
    <row r="549">
      <c r="N549" s="13"/>
    </row>
    <row r="550">
      <c r="N550" s="13"/>
    </row>
    <row r="551">
      <c r="N551" s="13"/>
    </row>
    <row r="552">
      <c r="N552" s="13"/>
    </row>
    <row r="553">
      <c r="N553" s="13"/>
    </row>
    <row r="554">
      <c r="N554" s="13"/>
    </row>
    <row r="555">
      <c r="N555" s="13"/>
    </row>
    <row r="556">
      <c r="N556" s="13"/>
    </row>
    <row r="557">
      <c r="N557" s="13"/>
    </row>
    <row r="558">
      <c r="N558" s="13"/>
    </row>
    <row r="559">
      <c r="N559" s="13"/>
    </row>
    <row r="560">
      <c r="N560" s="13"/>
    </row>
    <row r="561">
      <c r="N561" s="13"/>
    </row>
    <row r="562">
      <c r="N562" s="13"/>
    </row>
    <row r="563">
      <c r="N563" s="13"/>
    </row>
    <row r="564">
      <c r="N564" s="13"/>
    </row>
    <row r="565">
      <c r="N565" s="13"/>
    </row>
    <row r="566">
      <c r="N566" s="13"/>
    </row>
    <row r="567">
      <c r="N567" s="13"/>
    </row>
    <row r="568">
      <c r="N568" s="13"/>
    </row>
    <row r="569">
      <c r="N569" s="13"/>
    </row>
    <row r="570">
      <c r="N570" s="13"/>
    </row>
    <row r="571">
      <c r="N571" s="13"/>
    </row>
    <row r="572">
      <c r="N572" s="13"/>
    </row>
    <row r="573">
      <c r="N573" s="13"/>
    </row>
    <row r="574">
      <c r="N574" s="13"/>
    </row>
    <row r="575">
      <c r="N575" s="13"/>
    </row>
    <row r="576">
      <c r="N576" s="13"/>
    </row>
    <row r="577">
      <c r="N577" s="13"/>
    </row>
    <row r="578">
      <c r="N578" s="13"/>
    </row>
    <row r="579">
      <c r="N579" s="13"/>
    </row>
    <row r="580">
      <c r="N580" s="13"/>
    </row>
    <row r="581">
      <c r="N581" s="13"/>
    </row>
    <row r="582">
      <c r="N582" s="13"/>
    </row>
    <row r="583">
      <c r="N583" s="13"/>
    </row>
    <row r="584">
      <c r="N584" s="13"/>
    </row>
    <row r="585">
      <c r="N585" s="13"/>
    </row>
    <row r="586">
      <c r="N586" s="13"/>
    </row>
    <row r="587">
      <c r="N587" s="13"/>
    </row>
    <row r="588">
      <c r="N588" s="13"/>
    </row>
    <row r="589">
      <c r="N589" s="13"/>
    </row>
    <row r="590">
      <c r="N590" s="13"/>
    </row>
    <row r="591">
      <c r="N591" s="13"/>
    </row>
    <row r="592">
      <c r="N592" s="13"/>
    </row>
    <row r="593">
      <c r="N593" s="13"/>
    </row>
    <row r="594">
      <c r="N594" s="13"/>
    </row>
    <row r="595">
      <c r="N595" s="13"/>
    </row>
    <row r="596">
      <c r="N596" s="13"/>
    </row>
    <row r="597">
      <c r="N597" s="13"/>
    </row>
    <row r="598">
      <c r="N598" s="13"/>
    </row>
    <row r="599">
      <c r="N599" s="13"/>
    </row>
    <row r="600">
      <c r="N600" s="13"/>
    </row>
    <row r="601">
      <c r="N601" s="13"/>
    </row>
    <row r="602">
      <c r="N602" s="13"/>
    </row>
    <row r="603">
      <c r="N603" s="13"/>
    </row>
    <row r="604">
      <c r="N604" s="13"/>
    </row>
    <row r="605">
      <c r="N605" s="13"/>
    </row>
    <row r="606">
      <c r="N606" s="13"/>
    </row>
    <row r="607">
      <c r="N607" s="13"/>
    </row>
    <row r="608">
      <c r="N608" s="13"/>
    </row>
    <row r="609">
      <c r="N609" s="13"/>
    </row>
    <row r="610">
      <c r="N610" s="13"/>
    </row>
    <row r="611">
      <c r="N611" s="13"/>
    </row>
    <row r="612">
      <c r="N612" s="13"/>
    </row>
    <row r="613">
      <c r="N613" s="13"/>
    </row>
    <row r="614">
      <c r="N614" s="13"/>
    </row>
    <row r="615">
      <c r="N615" s="13"/>
    </row>
    <row r="616">
      <c r="N616" s="13"/>
    </row>
    <row r="617">
      <c r="N617" s="13"/>
    </row>
    <row r="618">
      <c r="N618" s="13"/>
    </row>
    <row r="619">
      <c r="N619" s="13"/>
    </row>
    <row r="620">
      <c r="N620" s="13"/>
    </row>
    <row r="621">
      <c r="N621" s="13"/>
    </row>
    <row r="622">
      <c r="N622" s="13"/>
    </row>
    <row r="623">
      <c r="N623" s="13"/>
    </row>
    <row r="624">
      <c r="N624" s="13"/>
    </row>
    <row r="625">
      <c r="N625" s="13"/>
    </row>
    <row r="626">
      <c r="N626" s="13"/>
    </row>
    <row r="627">
      <c r="N627" s="13"/>
    </row>
    <row r="628">
      <c r="N628" s="13"/>
    </row>
    <row r="629">
      <c r="N629" s="13"/>
    </row>
    <row r="630">
      <c r="N630" s="13"/>
    </row>
    <row r="631">
      <c r="N631" s="13"/>
    </row>
    <row r="632">
      <c r="N632" s="13"/>
    </row>
    <row r="633">
      <c r="N633" s="13"/>
    </row>
    <row r="634">
      <c r="N634" s="13"/>
    </row>
    <row r="635">
      <c r="N635" s="13"/>
    </row>
    <row r="636">
      <c r="N636" s="13"/>
    </row>
    <row r="637">
      <c r="N637" s="13"/>
    </row>
    <row r="638">
      <c r="N638" s="13"/>
    </row>
    <row r="639">
      <c r="N639" s="13"/>
    </row>
    <row r="640">
      <c r="N640" s="13"/>
    </row>
    <row r="641">
      <c r="N641" s="13"/>
    </row>
    <row r="642">
      <c r="N642" s="13"/>
    </row>
    <row r="643">
      <c r="N643" s="13"/>
    </row>
    <row r="644">
      <c r="N644" s="13"/>
    </row>
    <row r="645">
      <c r="N645" s="13"/>
    </row>
    <row r="646">
      <c r="N646" s="13"/>
    </row>
    <row r="647">
      <c r="N647" s="13"/>
    </row>
    <row r="648">
      <c r="N648" s="13"/>
    </row>
    <row r="649">
      <c r="N649" s="13"/>
    </row>
    <row r="650">
      <c r="N650" s="13"/>
    </row>
    <row r="651">
      <c r="N651" s="13"/>
    </row>
    <row r="652">
      <c r="N652" s="13"/>
    </row>
    <row r="653">
      <c r="N653" s="13"/>
    </row>
    <row r="654">
      <c r="N654" s="13"/>
    </row>
    <row r="655">
      <c r="N655" s="13"/>
    </row>
    <row r="656">
      <c r="N656" s="13"/>
    </row>
    <row r="657">
      <c r="N657" s="13"/>
    </row>
    <row r="658">
      <c r="N658" s="13"/>
    </row>
    <row r="659">
      <c r="N659" s="13"/>
    </row>
    <row r="660">
      <c r="N660" s="13"/>
    </row>
    <row r="661">
      <c r="N661" s="13"/>
    </row>
    <row r="662">
      <c r="N662" s="13"/>
    </row>
    <row r="663">
      <c r="N663" s="13"/>
    </row>
    <row r="664">
      <c r="N664" s="13"/>
    </row>
    <row r="665">
      <c r="N665" s="13"/>
    </row>
    <row r="666">
      <c r="N666" s="13"/>
    </row>
    <row r="667">
      <c r="N667" s="13"/>
    </row>
    <row r="668">
      <c r="N668" s="13"/>
    </row>
    <row r="669">
      <c r="N669" s="13"/>
    </row>
    <row r="670">
      <c r="N670" s="13"/>
    </row>
    <row r="671">
      <c r="N671" s="13"/>
    </row>
    <row r="672">
      <c r="N672" s="13"/>
    </row>
    <row r="673">
      <c r="N673" s="13"/>
    </row>
    <row r="674">
      <c r="N674" s="13"/>
    </row>
    <row r="675">
      <c r="N675" s="13"/>
    </row>
    <row r="676">
      <c r="N676" s="13"/>
    </row>
    <row r="677">
      <c r="N677" s="13"/>
    </row>
    <row r="678">
      <c r="N678" s="13"/>
    </row>
    <row r="679">
      <c r="N679" s="13"/>
    </row>
    <row r="680">
      <c r="N680" s="13"/>
    </row>
    <row r="681">
      <c r="N681" s="13"/>
    </row>
    <row r="682">
      <c r="N682" s="13"/>
    </row>
    <row r="683">
      <c r="N683" s="13"/>
    </row>
    <row r="684">
      <c r="N684" s="13"/>
    </row>
    <row r="685">
      <c r="N685" s="13"/>
    </row>
    <row r="686">
      <c r="N686" s="13"/>
    </row>
    <row r="687">
      <c r="N687" s="13"/>
    </row>
    <row r="688">
      <c r="N688" s="13"/>
    </row>
    <row r="689">
      <c r="N689" s="13"/>
    </row>
    <row r="690">
      <c r="N690" s="13"/>
    </row>
    <row r="691">
      <c r="N691" s="13"/>
    </row>
    <row r="692">
      <c r="N692" s="13"/>
    </row>
    <row r="693">
      <c r="N693" s="13"/>
    </row>
    <row r="694">
      <c r="N694" s="13"/>
    </row>
    <row r="695">
      <c r="N695" s="13"/>
    </row>
    <row r="696">
      <c r="N696" s="13"/>
    </row>
    <row r="697">
      <c r="N697" s="13"/>
    </row>
    <row r="698">
      <c r="N698" s="13"/>
    </row>
    <row r="699">
      <c r="N699" s="13"/>
    </row>
    <row r="700">
      <c r="N700" s="13"/>
    </row>
    <row r="701">
      <c r="N701" s="13"/>
    </row>
    <row r="702">
      <c r="N702" s="13"/>
    </row>
    <row r="703">
      <c r="N703" s="13"/>
    </row>
    <row r="704">
      <c r="N704" s="13"/>
    </row>
    <row r="705">
      <c r="N705" s="13"/>
    </row>
    <row r="706">
      <c r="N706" s="13"/>
    </row>
    <row r="707">
      <c r="N707" s="13"/>
    </row>
    <row r="708">
      <c r="N708" s="13"/>
    </row>
    <row r="709">
      <c r="N709" s="13"/>
    </row>
    <row r="710">
      <c r="N710" s="13"/>
    </row>
    <row r="711">
      <c r="N711" s="13"/>
    </row>
    <row r="712">
      <c r="N712" s="13"/>
    </row>
    <row r="713">
      <c r="N713" s="13"/>
    </row>
    <row r="714">
      <c r="N714" s="13"/>
    </row>
    <row r="715">
      <c r="N715" s="13"/>
    </row>
    <row r="716">
      <c r="N716" s="13"/>
    </row>
    <row r="717">
      <c r="N717" s="13"/>
    </row>
    <row r="718">
      <c r="N718" s="13"/>
    </row>
    <row r="719">
      <c r="N719" s="13"/>
    </row>
    <row r="720">
      <c r="N720" s="13"/>
    </row>
    <row r="721">
      <c r="N721" s="13"/>
    </row>
    <row r="722">
      <c r="N722" s="13"/>
    </row>
    <row r="723">
      <c r="N723" s="13"/>
    </row>
    <row r="724">
      <c r="N724" s="13"/>
    </row>
    <row r="725">
      <c r="N725" s="13"/>
    </row>
    <row r="726">
      <c r="N726" s="13"/>
    </row>
    <row r="727">
      <c r="N727" s="13"/>
    </row>
    <row r="728">
      <c r="N728" s="13"/>
    </row>
    <row r="729">
      <c r="N729" s="13"/>
    </row>
    <row r="730">
      <c r="N730" s="13"/>
    </row>
    <row r="731">
      <c r="N731" s="13"/>
    </row>
    <row r="732">
      <c r="N732" s="13"/>
    </row>
    <row r="733">
      <c r="N733" s="13"/>
    </row>
    <row r="734">
      <c r="N734" s="13"/>
    </row>
    <row r="735">
      <c r="N735" s="13"/>
    </row>
    <row r="736">
      <c r="N736" s="13"/>
    </row>
    <row r="737">
      <c r="N737" s="13"/>
    </row>
    <row r="738">
      <c r="N738" s="13"/>
    </row>
    <row r="739">
      <c r="N739" s="13"/>
    </row>
    <row r="740">
      <c r="N740" s="13"/>
    </row>
    <row r="741">
      <c r="N741" s="13"/>
    </row>
    <row r="742">
      <c r="N742" s="13"/>
    </row>
    <row r="743">
      <c r="N743" s="13"/>
    </row>
    <row r="744">
      <c r="N744" s="13"/>
    </row>
    <row r="745">
      <c r="N745" s="13"/>
    </row>
    <row r="746">
      <c r="N746" s="13"/>
    </row>
    <row r="747">
      <c r="N747" s="13"/>
    </row>
    <row r="748">
      <c r="N748" s="13"/>
    </row>
    <row r="749">
      <c r="N749" s="13"/>
    </row>
    <row r="750">
      <c r="N750" s="13"/>
    </row>
    <row r="751">
      <c r="N751" s="13"/>
    </row>
    <row r="752">
      <c r="N752" s="13"/>
    </row>
    <row r="753">
      <c r="N753" s="13"/>
    </row>
    <row r="754">
      <c r="N754" s="13"/>
    </row>
    <row r="755">
      <c r="N755" s="13"/>
    </row>
    <row r="756">
      <c r="N756" s="13"/>
    </row>
    <row r="757">
      <c r="N757" s="13"/>
    </row>
    <row r="758">
      <c r="N758" s="13"/>
    </row>
    <row r="759">
      <c r="N759" s="13"/>
    </row>
    <row r="760">
      <c r="N760" s="13"/>
    </row>
    <row r="761">
      <c r="N761" s="13"/>
    </row>
    <row r="762">
      <c r="N762" s="13"/>
    </row>
    <row r="763">
      <c r="N763" s="13"/>
    </row>
    <row r="764">
      <c r="N764" s="13"/>
    </row>
    <row r="765">
      <c r="N765" s="13"/>
    </row>
    <row r="766">
      <c r="N766" s="13"/>
    </row>
    <row r="767">
      <c r="N767" s="13"/>
    </row>
    <row r="768">
      <c r="N768" s="13"/>
    </row>
    <row r="769">
      <c r="N769" s="13"/>
    </row>
    <row r="770">
      <c r="N770" s="13"/>
    </row>
    <row r="771">
      <c r="N771" s="13"/>
    </row>
    <row r="772">
      <c r="N772" s="13"/>
    </row>
    <row r="773">
      <c r="N773" s="13"/>
    </row>
    <row r="774">
      <c r="N774" s="13"/>
    </row>
    <row r="775">
      <c r="N775" s="13"/>
    </row>
    <row r="776">
      <c r="N776" s="13"/>
    </row>
    <row r="777">
      <c r="N777" s="13"/>
    </row>
    <row r="778">
      <c r="N778" s="13"/>
    </row>
    <row r="779">
      <c r="N779" s="13"/>
    </row>
    <row r="780">
      <c r="N780" s="13"/>
    </row>
    <row r="781">
      <c r="N781" s="13"/>
    </row>
    <row r="782">
      <c r="N782" s="13"/>
    </row>
    <row r="783">
      <c r="N783" s="13"/>
    </row>
    <row r="784">
      <c r="N784" s="13"/>
    </row>
    <row r="785">
      <c r="N785" s="13"/>
    </row>
    <row r="786">
      <c r="N786" s="13"/>
    </row>
    <row r="787">
      <c r="N787" s="13"/>
    </row>
    <row r="788">
      <c r="N788" s="13"/>
    </row>
    <row r="789">
      <c r="N789" s="13"/>
    </row>
    <row r="790">
      <c r="N790" s="13"/>
    </row>
    <row r="791">
      <c r="N791" s="13"/>
    </row>
    <row r="792">
      <c r="N792" s="13"/>
    </row>
    <row r="793">
      <c r="N793" s="13"/>
    </row>
    <row r="794">
      <c r="N794" s="13"/>
    </row>
    <row r="795">
      <c r="N795" s="13"/>
    </row>
    <row r="796">
      <c r="N796" s="13"/>
    </row>
    <row r="797">
      <c r="N797" s="13"/>
    </row>
    <row r="798">
      <c r="N798" s="13"/>
    </row>
    <row r="799">
      <c r="N799" s="13"/>
    </row>
    <row r="800">
      <c r="N800" s="13"/>
    </row>
    <row r="801">
      <c r="N801" s="13"/>
    </row>
    <row r="802">
      <c r="N802" s="13"/>
    </row>
    <row r="803">
      <c r="N803" s="13"/>
    </row>
    <row r="804">
      <c r="N804" s="13"/>
    </row>
    <row r="805">
      <c r="N805" s="13"/>
    </row>
    <row r="806">
      <c r="N806" s="13"/>
    </row>
    <row r="807">
      <c r="N807" s="13"/>
    </row>
    <row r="808">
      <c r="N808" s="13"/>
    </row>
    <row r="809">
      <c r="N809" s="13"/>
    </row>
    <row r="810">
      <c r="N810" s="13"/>
    </row>
    <row r="811">
      <c r="N811" s="13"/>
    </row>
    <row r="812">
      <c r="N812" s="13"/>
    </row>
    <row r="813">
      <c r="N813" s="13"/>
    </row>
    <row r="814">
      <c r="N814" s="13"/>
    </row>
    <row r="815">
      <c r="N815" s="13"/>
    </row>
    <row r="816">
      <c r="N816" s="13"/>
    </row>
    <row r="817">
      <c r="N817" s="13"/>
    </row>
    <row r="818">
      <c r="N818" s="13"/>
    </row>
    <row r="819">
      <c r="N819" s="13"/>
    </row>
    <row r="820">
      <c r="N820" s="13"/>
    </row>
    <row r="821">
      <c r="N821" s="13"/>
    </row>
    <row r="822">
      <c r="N822" s="13"/>
    </row>
    <row r="823">
      <c r="N823" s="13"/>
    </row>
    <row r="824">
      <c r="N824" s="13"/>
    </row>
    <row r="825">
      <c r="N825" s="13"/>
    </row>
    <row r="826">
      <c r="N826" s="13"/>
    </row>
    <row r="827">
      <c r="N827" s="13"/>
    </row>
    <row r="828">
      <c r="N828" s="13"/>
    </row>
    <row r="829">
      <c r="N829" s="13"/>
    </row>
    <row r="830">
      <c r="N830" s="13"/>
    </row>
    <row r="831">
      <c r="N831" s="13"/>
    </row>
    <row r="832">
      <c r="N832" s="13"/>
    </row>
    <row r="833">
      <c r="N833" s="13"/>
    </row>
    <row r="834">
      <c r="N834" s="13"/>
    </row>
    <row r="835">
      <c r="N835" s="13"/>
    </row>
    <row r="836">
      <c r="N836" s="13"/>
    </row>
    <row r="837">
      <c r="N837" s="13"/>
    </row>
    <row r="838">
      <c r="N838" s="13"/>
    </row>
    <row r="839">
      <c r="N839" s="13"/>
    </row>
    <row r="840">
      <c r="N840" s="13"/>
    </row>
    <row r="841">
      <c r="N841" s="13"/>
    </row>
    <row r="842">
      <c r="N842" s="13"/>
    </row>
    <row r="843">
      <c r="N843" s="13"/>
    </row>
    <row r="844">
      <c r="N844" s="13"/>
    </row>
    <row r="845">
      <c r="N845" s="13"/>
    </row>
    <row r="846">
      <c r="N846" s="13"/>
    </row>
    <row r="847">
      <c r="N847" s="13"/>
    </row>
    <row r="848">
      <c r="N848" s="13"/>
    </row>
    <row r="849">
      <c r="N849" s="13"/>
    </row>
    <row r="850">
      <c r="N850" s="13"/>
    </row>
    <row r="851">
      <c r="N851" s="13"/>
    </row>
    <row r="852">
      <c r="N852" s="13"/>
    </row>
    <row r="853">
      <c r="N853" s="13"/>
    </row>
    <row r="854">
      <c r="N854" s="13"/>
    </row>
    <row r="855">
      <c r="N855" s="13"/>
    </row>
    <row r="856">
      <c r="N856" s="13"/>
    </row>
    <row r="857">
      <c r="N857" s="13"/>
    </row>
    <row r="858">
      <c r="N858" s="13"/>
    </row>
    <row r="859">
      <c r="N859" s="13"/>
    </row>
    <row r="860">
      <c r="N860" s="13"/>
    </row>
    <row r="861">
      <c r="N861" s="13"/>
    </row>
    <row r="862">
      <c r="N862" s="13"/>
    </row>
    <row r="863">
      <c r="N863" s="13"/>
    </row>
    <row r="864">
      <c r="N864" s="13"/>
    </row>
    <row r="865">
      <c r="N865" s="13"/>
    </row>
    <row r="866">
      <c r="N866" s="13"/>
    </row>
    <row r="867">
      <c r="N867" s="13"/>
    </row>
    <row r="868">
      <c r="N868" s="13"/>
    </row>
    <row r="869">
      <c r="N869" s="13"/>
    </row>
    <row r="870">
      <c r="N870" s="13"/>
    </row>
    <row r="871">
      <c r="N871" s="13"/>
    </row>
    <row r="872">
      <c r="N872" s="13"/>
    </row>
    <row r="873">
      <c r="N873" s="13"/>
    </row>
    <row r="874">
      <c r="N874" s="13"/>
    </row>
    <row r="875">
      <c r="N875" s="13"/>
    </row>
    <row r="876">
      <c r="N876" s="13"/>
    </row>
    <row r="877">
      <c r="N877" s="13"/>
    </row>
    <row r="878">
      <c r="N878" s="13"/>
    </row>
    <row r="879">
      <c r="N879" s="13"/>
    </row>
    <row r="880">
      <c r="N880" s="13"/>
    </row>
    <row r="881">
      <c r="N881" s="13"/>
    </row>
    <row r="882">
      <c r="N882" s="13"/>
    </row>
    <row r="883">
      <c r="N883" s="13"/>
    </row>
    <row r="884">
      <c r="N884" s="13"/>
    </row>
    <row r="885">
      <c r="N885" s="13"/>
    </row>
    <row r="886">
      <c r="N886" s="13"/>
    </row>
    <row r="887">
      <c r="N887" s="13"/>
    </row>
    <row r="888">
      <c r="N888" s="13"/>
    </row>
    <row r="889">
      <c r="N889" s="13"/>
    </row>
    <row r="890">
      <c r="N890" s="13"/>
    </row>
    <row r="891">
      <c r="N891" s="13"/>
    </row>
    <row r="892">
      <c r="N892" s="13"/>
    </row>
    <row r="893">
      <c r="N893" s="13"/>
    </row>
    <row r="894">
      <c r="N894" s="13"/>
    </row>
    <row r="895">
      <c r="N895" s="13"/>
    </row>
    <row r="896">
      <c r="N896" s="13"/>
    </row>
    <row r="897">
      <c r="N897" s="13"/>
    </row>
    <row r="898">
      <c r="N898" s="13"/>
    </row>
    <row r="899">
      <c r="N899" s="13"/>
    </row>
    <row r="900">
      <c r="N900" s="13"/>
    </row>
    <row r="901">
      <c r="N901" s="13"/>
    </row>
    <row r="902">
      <c r="N902" s="13"/>
    </row>
    <row r="903">
      <c r="N903" s="13"/>
    </row>
    <row r="904">
      <c r="N904" s="13"/>
    </row>
    <row r="905">
      <c r="N905" s="13"/>
    </row>
    <row r="906">
      <c r="N906" s="13"/>
    </row>
    <row r="907">
      <c r="N907" s="13"/>
    </row>
    <row r="908">
      <c r="N908" s="13"/>
    </row>
    <row r="909">
      <c r="N909" s="13"/>
    </row>
    <row r="910">
      <c r="N910" s="13"/>
    </row>
    <row r="911">
      <c r="N911" s="13"/>
    </row>
    <row r="912">
      <c r="N912" s="13"/>
    </row>
    <row r="913">
      <c r="N913" s="13"/>
    </row>
    <row r="914">
      <c r="N914" s="13"/>
    </row>
    <row r="915">
      <c r="N915" s="13"/>
    </row>
    <row r="916">
      <c r="N916" s="13"/>
    </row>
    <row r="917">
      <c r="N917" s="13"/>
    </row>
    <row r="918">
      <c r="N918" s="13"/>
    </row>
    <row r="919">
      <c r="N919" s="13"/>
    </row>
    <row r="920">
      <c r="N920" s="13"/>
    </row>
    <row r="921">
      <c r="N921" s="13"/>
    </row>
    <row r="922">
      <c r="N922" s="13"/>
    </row>
    <row r="923">
      <c r="N923" s="13"/>
    </row>
    <row r="924">
      <c r="N924" s="13"/>
    </row>
    <row r="925">
      <c r="N925" s="13"/>
    </row>
    <row r="926">
      <c r="N926" s="13"/>
    </row>
    <row r="927">
      <c r="N927" s="13"/>
    </row>
    <row r="928">
      <c r="N928" s="13"/>
    </row>
    <row r="929">
      <c r="N929" s="13"/>
    </row>
    <row r="930">
      <c r="N930" s="13"/>
    </row>
    <row r="931">
      <c r="N931" s="13"/>
    </row>
    <row r="932">
      <c r="N932" s="13"/>
    </row>
    <row r="933">
      <c r="N933" s="13"/>
    </row>
    <row r="934">
      <c r="N934" s="13"/>
    </row>
    <row r="935">
      <c r="N935" s="13"/>
    </row>
    <row r="936">
      <c r="N936" s="13"/>
    </row>
    <row r="937">
      <c r="N937" s="13"/>
    </row>
    <row r="938">
      <c r="N938" s="13"/>
    </row>
    <row r="939">
      <c r="N939" s="13"/>
    </row>
    <row r="940">
      <c r="N940" s="13"/>
    </row>
    <row r="941">
      <c r="N941" s="13"/>
    </row>
    <row r="942">
      <c r="N942" s="13"/>
    </row>
    <row r="943">
      <c r="N943" s="13"/>
    </row>
    <row r="944">
      <c r="N944" s="13"/>
    </row>
    <row r="945">
      <c r="N945" s="13"/>
    </row>
    <row r="946">
      <c r="N946" s="13"/>
    </row>
    <row r="947">
      <c r="N947" s="13"/>
    </row>
    <row r="948">
      <c r="N948" s="13"/>
    </row>
    <row r="949">
      <c r="N949" s="13"/>
    </row>
    <row r="950">
      <c r="N950" s="13"/>
    </row>
    <row r="951">
      <c r="N951" s="13"/>
    </row>
    <row r="952">
      <c r="N952" s="13"/>
    </row>
    <row r="953">
      <c r="N953" s="13"/>
    </row>
    <row r="954">
      <c r="N954" s="13"/>
    </row>
    <row r="955">
      <c r="N955" s="13"/>
    </row>
    <row r="956">
      <c r="N956" s="13"/>
    </row>
    <row r="957">
      <c r="N957" s="13"/>
    </row>
    <row r="958">
      <c r="N958" s="13"/>
    </row>
    <row r="959">
      <c r="N959" s="13"/>
    </row>
    <row r="960">
      <c r="N960" s="13"/>
    </row>
    <row r="961">
      <c r="N961" s="13"/>
    </row>
    <row r="962">
      <c r="N962" s="13"/>
    </row>
    <row r="963">
      <c r="N963" s="13"/>
    </row>
    <row r="964">
      <c r="N964" s="13"/>
    </row>
    <row r="965">
      <c r="N965" s="13"/>
    </row>
    <row r="966">
      <c r="N966" s="13"/>
    </row>
    <row r="967">
      <c r="N967" s="13"/>
    </row>
    <row r="968">
      <c r="N968" s="13"/>
    </row>
    <row r="969">
      <c r="N969" s="13"/>
    </row>
    <row r="970">
      <c r="N970" s="13"/>
    </row>
    <row r="971">
      <c r="N971" s="13"/>
    </row>
    <row r="972">
      <c r="N972" s="13"/>
    </row>
    <row r="973">
      <c r="N973" s="13"/>
    </row>
    <row r="974">
      <c r="N974" s="13"/>
    </row>
    <row r="975">
      <c r="N975" s="13"/>
    </row>
    <row r="976">
      <c r="N976" s="13"/>
    </row>
    <row r="977">
      <c r="N977" s="13"/>
    </row>
    <row r="978">
      <c r="N978" s="13"/>
    </row>
    <row r="979">
      <c r="N979" s="13"/>
    </row>
    <row r="980">
      <c r="N980" s="13"/>
    </row>
    <row r="981">
      <c r="N981" s="13"/>
    </row>
    <row r="982">
      <c r="N982" s="13"/>
    </row>
    <row r="983">
      <c r="N983" s="13"/>
    </row>
    <row r="984">
      <c r="N984" s="13"/>
    </row>
    <row r="985">
      <c r="N985" s="13"/>
    </row>
    <row r="986">
      <c r="N986" s="13"/>
    </row>
    <row r="987">
      <c r="N987" s="13"/>
    </row>
    <row r="988">
      <c r="N988" s="13"/>
    </row>
    <row r="989">
      <c r="N989" s="13"/>
    </row>
    <row r="990">
      <c r="N990" s="13"/>
    </row>
    <row r="991">
      <c r="N991" s="13"/>
    </row>
    <row r="992">
      <c r="N992" s="13"/>
    </row>
    <row r="993">
      <c r="N993" s="13"/>
    </row>
    <row r="994">
      <c r="N994" s="13"/>
    </row>
    <row r="995">
      <c r="N995" s="13"/>
    </row>
    <row r="996">
      <c r="N996" s="13"/>
    </row>
    <row r="997">
      <c r="N997" s="13"/>
    </row>
    <row r="998">
      <c r="N998" s="13"/>
    </row>
    <row r="999">
      <c r="N999" s="13"/>
    </row>
    <row r="1000">
      <c r="N1000" s="13"/>
    </row>
  </sheetData>
  <drawing r:id="rId1"/>
</worksheet>
</file>