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JUDGING SCHEDULE"/>
    <sheet r:id="rId2" sheetId="2" name="styles by table"/>
  </sheets>
  <calcPr fullCalcOnLoad="1"/>
</workbook>
</file>

<file path=xl/sharedStrings.xml><?xml version="1.0" encoding="utf-8"?>
<sst xmlns="http://schemas.openxmlformats.org/spreadsheetml/2006/main" count="581" uniqueCount="414">
  <si>
    <t>Medal Category Name</t>
  </si>
  <si>
    <t>Table Number</t>
  </si>
  <si>
    <t>BJCP Style Name</t>
  </si>
  <si>
    <t>BJCP Style Id</t>
  </si>
  <si>
    <t>JUDGE FRESH</t>
  </si>
  <si>
    <t>Pale Lager</t>
  </si>
  <si>
    <t>American Light Lager</t>
  </si>
  <si>
    <t>01A</t>
  </si>
  <si>
    <t>X</t>
  </si>
  <si>
    <t>American Lager</t>
  </si>
  <si>
    <t>01B</t>
  </si>
  <si>
    <t>International Pale Lager</t>
  </si>
  <si>
    <t>02A</t>
  </si>
  <si>
    <t>Historic Pre-Prohibition Lager</t>
  </si>
  <si>
    <t>27A6</t>
  </si>
  <si>
    <t>Light Ale</t>
  </si>
  <si>
    <t>Cream Ale</t>
  </si>
  <si>
    <t>01C</t>
  </si>
  <si>
    <t>American Wheat Beer</t>
  </si>
  <si>
    <t>01D</t>
  </si>
  <si>
    <t>Commonwealth Beer</t>
  </si>
  <si>
    <t>British Golden Ale</t>
  </si>
  <si>
    <t>12A</t>
  </si>
  <si>
    <t>Australian Sparkling Ale</t>
  </si>
  <si>
    <t>12B</t>
  </si>
  <si>
    <t>English IPA</t>
  </si>
  <si>
    <t>12C</t>
  </si>
  <si>
    <t>New Zealand Pilsner</t>
  </si>
  <si>
    <t>LSX5</t>
  </si>
  <si>
    <t>Pale German Beer</t>
  </si>
  <si>
    <t>Munich Helles</t>
  </si>
  <si>
    <t>04A</t>
  </si>
  <si>
    <t>German Leichtbier</t>
  </si>
  <si>
    <t>05A</t>
  </si>
  <si>
    <t>German Helles Exportbier</t>
  </si>
  <si>
    <t>05C</t>
  </si>
  <si>
    <t>Pale European Lager</t>
  </si>
  <si>
    <t>Czech Pale Lager</t>
  </si>
  <si>
    <t>03A</t>
  </si>
  <si>
    <t>Czech Premium Pale Lager</t>
  </si>
  <si>
    <t>03B</t>
  </si>
  <si>
    <t>German Pils</t>
  </si>
  <si>
    <t>05D</t>
  </si>
  <si>
    <t>Kolsch and Blonde</t>
  </si>
  <si>
    <t>Kolsch</t>
  </si>
  <si>
    <t>05B</t>
  </si>
  <si>
    <t>Blonde Ale</t>
  </si>
  <si>
    <t>18A</t>
  </si>
  <si>
    <t>Oktoberfest</t>
  </si>
  <si>
    <t>Festbier</t>
  </si>
  <si>
    <t>04B</t>
  </si>
  <si>
    <t>Marzen</t>
  </si>
  <si>
    <t>06A</t>
  </si>
  <si>
    <t>European Ambers and Bocks</t>
  </si>
  <si>
    <t>International Amber Lager</t>
  </si>
  <si>
    <t>02B</t>
  </si>
  <si>
    <t>Czech Amber Lager</t>
  </si>
  <si>
    <t>03C</t>
  </si>
  <si>
    <t>Helles Bock</t>
  </si>
  <si>
    <t>04C</t>
  </si>
  <si>
    <t>Dunkles Bock</t>
  </si>
  <si>
    <t>06C</t>
  </si>
  <si>
    <t>Amber Bitter European Beer</t>
  </si>
  <si>
    <t>Vienna Lager</t>
  </si>
  <si>
    <t>07A</t>
  </si>
  <si>
    <t>Altbier</t>
  </si>
  <si>
    <t>07B</t>
  </si>
  <si>
    <t>Kellerbier</t>
  </si>
  <si>
    <t>27A1</t>
  </si>
  <si>
    <t>Dark European Lager</t>
  </si>
  <si>
    <t>International Dark Lager</t>
  </si>
  <si>
    <t>02C</t>
  </si>
  <si>
    <t>Czech Dark Lager</t>
  </si>
  <si>
    <t>03D</t>
  </si>
  <si>
    <t>Munich Dunkel</t>
  </si>
  <si>
    <t>08A</t>
  </si>
  <si>
    <t>Schwarzbier</t>
  </si>
  <si>
    <t>08B</t>
  </si>
  <si>
    <t>Strong European Beer</t>
  </si>
  <si>
    <t>Doppelbock</t>
  </si>
  <si>
    <t>09A</t>
  </si>
  <si>
    <t>Eisbock</t>
  </si>
  <si>
    <t>09B</t>
  </si>
  <si>
    <t>Baltic Porter</t>
  </si>
  <si>
    <t>09C</t>
  </si>
  <si>
    <t>German Wheat Beer</t>
  </si>
  <si>
    <t>Weissbier</t>
  </si>
  <si>
    <t>10A</t>
  </si>
  <si>
    <t>Dunkles Weissbier</t>
  </si>
  <si>
    <t>10B</t>
  </si>
  <si>
    <t>Weizenbock</t>
  </si>
  <si>
    <t>10C</t>
  </si>
  <si>
    <t>Historic Roggenbier</t>
  </si>
  <si>
    <t>27A8</t>
  </si>
  <si>
    <t>British Bitter</t>
  </si>
  <si>
    <t>Ordinary Bitter</t>
  </si>
  <si>
    <t>11A</t>
  </si>
  <si>
    <t>Best Bitter</t>
  </si>
  <si>
    <t>11B</t>
  </si>
  <si>
    <t>Strong Bitter</t>
  </si>
  <si>
    <t>11C</t>
  </si>
  <si>
    <t>Brown British Beer</t>
  </si>
  <si>
    <t>Dark Mild</t>
  </si>
  <si>
    <t>13A</t>
  </si>
  <si>
    <t>British Brown Ale</t>
  </si>
  <si>
    <t>13B</t>
  </si>
  <si>
    <t>Historic London Brown Ale</t>
  </si>
  <si>
    <t>27A4</t>
  </si>
  <si>
    <t>Scottish and Irish Ale</t>
  </si>
  <si>
    <t>Scottish Light</t>
  </si>
  <si>
    <t>14A</t>
  </si>
  <si>
    <t>Scottish Heavy</t>
  </si>
  <si>
    <t>14B</t>
  </si>
  <si>
    <t>Scottish Export</t>
  </si>
  <si>
    <t>14C</t>
  </si>
  <si>
    <t>Irish Red Ale</t>
  </si>
  <si>
    <t>15A</t>
  </si>
  <si>
    <t>Stout and Porter</t>
  </si>
  <si>
    <t>English Porter</t>
  </si>
  <si>
    <t>13C</t>
  </si>
  <si>
    <t>Irish Stout</t>
  </si>
  <si>
    <t>15B</t>
  </si>
  <si>
    <t>Irish Extra Stout</t>
  </si>
  <si>
    <t>15C</t>
  </si>
  <si>
    <t>Foreign Extra Stout</t>
  </si>
  <si>
    <t>16D</t>
  </si>
  <si>
    <t>British Stout</t>
  </si>
  <si>
    <t>Sweet Stout</t>
  </si>
  <si>
    <t>16A</t>
  </si>
  <si>
    <t>Oatmeal Stout</t>
  </si>
  <si>
    <t>16B</t>
  </si>
  <si>
    <t>Tropical Stout</t>
  </si>
  <si>
    <t>16C</t>
  </si>
  <si>
    <t>Strong British Ale</t>
  </si>
  <si>
    <t>British Strong Ale</t>
  </si>
  <si>
    <t>17A</t>
  </si>
  <si>
    <t>Burton Ale</t>
  </si>
  <si>
    <t>17A1</t>
  </si>
  <si>
    <t>Old Ale</t>
  </si>
  <si>
    <t>17B</t>
  </si>
  <si>
    <t>Wee Heavy</t>
  </si>
  <si>
    <t>17C</t>
  </si>
  <si>
    <t>Pale American Ale</t>
  </si>
  <si>
    <t>American Pale Ale</t>
  </si>
  <si>
    <t>18B</t>
  </si>
  <si>
    <t>Dorada Pampeana</t>
  </si>
  <si>
    <t>LSX1</t>
  </si>
  <si>
    <t>Amber And Brown American Beer</t>
  </si>
  <si>
    <t>American Amber Ale</t>
  </si>
  <si>
    <t>19A</t>
  </si>
  <si>
    <t>California Common</t>
  </si>
  <si>
    <t>19B</t>
  </si>
  <si>
    <t>American Brown Ale</t>
  </si>
  <si>
    <t>19C</t>
  </si>
  <si>
    <t>Historic Kentucky Common</t>
  </si>
  <si>
    <t>27A2</t>
  </si>
  <si>
    <t>Historic Pre-Prohibition Porter</t>
  </si>
  <si>
    <t>27A7</t>
  </si>
  <si>
    <t>American Porter And Stout</t>
  </si>
  <si>
    <t>American Porter</t>
  </si>
  <si>
    <t>20A</t>
  </si>
  <si>
    <t>American Stout</t>
  </si>
  <si>
    <t>20B</t>
  </si>
  <si>
    <t>Imperial Stout</t>
  </si>
  <si>
    <t>20C</t>
  </si>
  <si>
    <t>American IPA</t>
  </si>
  <si>
    <t>21A</t>
  </si>
  <si>
    <t>Specialty IPA</t>
  </si>
  <si>
    <t>Belgian IPA</t>
  </si>
  <si>
    <t>21B1</t>
  </si>
  <si>
    <t>Black IPA</t>
  </si>
  <si>
    <t>21B2</t>
  </si>
  <si>
    <t>Brown IPA</t>
  </si>
  <si>
    <t>21B3</t>
  </si>
  <si>
    <t>Red IPA</t>
  </si>
  <si>
    <t>21B4</t>
  </si>
  <si>
    <t>Rye IPA</t>
  </si>
  <si>
    <t>21B5</t>
  </si>
  <si>
    <t>White IPA</t>
  </si>
  <si>
    <t>21B6</t>
  </si>
  <si>
    <t>Brut IPA</t>
  </si>
  <si>
    <t>21B7</t>
  </si>
  <si>
    <t>IPA Argenta</t>
  </si>
  <si>
    <t>LSX2</t>
  </si>
  <si>
    <t>Hazy and Experimental IPA</t>
  </si>
  <si>
    <t>21B</t>
  </si>
  <si>
    <t>Hazy IPA</t>
  </si>
  <si>
    <t>21C</t>
  </si>
  <si>
    <t>Strong American Ale</t>
  </si>
  <si>
    <t>Double IPA</t>
  </si>
  <si>
    <t>22A</t>
  </si>
  <si>
    <t>American Strong Ale</t>
  </si>
  <si>
    <t>22B</t>
  </si>
  <si>
    <t>Wheatwine</t>
  </si>
  <si>
    <t>22D</t>
  </si>
  <si>
    <t>Barleywines</t>
  </si>
  <si>
    <t>English Barleywine</t>
  </si>
  <si>
    <t>17D</t>
  </si>
  <si>
    <t>American Barleywine</t>
  </si>
  <si>
    <t>22C</t>
  </si>
  <si>
    <t>European Sour Ale</t>
  </si>
  <si>
    <t>Berliner Weisse</t>
  </si>
  <si>
    <t>23A</t>
  </si>
  <si>
    <t>Flanders Red Ale</t>
  </si>
  <si>
    <t>23B</t>
  </si>
  <si>
    <t>Oud Bruin</t>
  </si>
  <si>
    <t>23C</t>
  </si>
  <si>
    <t>Lambic</t>
  </si>
  <si>
    <t>23D</t>
  </si>
  <si>
    <t>Gueuze</t>
  </si>
  <si>
    <t>23E</t>
  </si>
  <si>
    <t>Fruit Lambic</t>
  </si>
  <si>
    <t>23F</t>
  </si>
  <si>
    <t>Gose</t>
  </si>
  <si>
    <t>23G</t>
  </si>
  <si>
    <t>Belgian Ale</t>
  </si>
  <si>
    <t>Witbier</t>
  </si>
  <si>
    <t>24A</t>
  </si>
  <si>
    <t>Belgian Pale Ale</t>
  </si>
  <si>
    <t>24B</t>
  </si>
  <si>
    <t>Biere De Garde</t>
  </si>
  <si>
    <t>24C</t>
  </si>
  <si>
    <t>Trappist Single</t>
  </si>
  <si>
    <t>26A</t>
  </si>
  <si>
    <t>Belgian Blonde and Saison</t>
  </si>
  <si>
    <t>Belgian Blond Ale</t>
  </si>
  <si>
    <t>25A</t>
  </si>
  <si>
    <t>Saison</t>
  </si>
  <si>
    <t>25B</t>
  </si>
  <si>
    <t>Strong Light Belgian Ale</t>
  </si>
  <si>
    <t>Belgian Golden Strong Ale</t>
  </si>
  <si>
    <t>25C</t>
  </si>
  <si>
    <t>Belgian Tripel</t>
  </si>
  <si>
    <t>26C</t>
  </si>
  <si>
    <t>Strong Dark Belgian Ale</t>
  </si>
  <si>
    <t>Belgian Dubbel</t>
  </si>
  <si>
    <t>26B</t>
  </si>
  <si>
    <t>Belgian Dark Strong Ale</t>
  </si>
  <si>
    <t>26D</t>
  </si>
  <si>
    <t>Fruit Beer</t>
  </si>
  <si>
    <t>29A</t>
  </si>
  <si>
    <t>Fruit And Spice Beer</t>
  </si>
  <si>
    <t>29B</t>
  </si>
  <si>
    <t>Specialty Fruit Beer</t>
  </si>
  <si>
    <t>29C</t>
  </si>
  <si>
    <t>Grape Ale</t>
  </si>
  <si>
    <t>29D</t>
  </si>
  <si>
    <t>Italian Grape Ale</t>
  </si>
  <si>
    <t>LSX3</t>
  </si>
  <si>
    <t>Spice Herb Vegetable Beer</t>
  </si>
  <si>
    <t>30A</t>
  </si>
  <si>
    <t>Specialty Spice Beer</t>
  </si>
  <si>
    <t>30D</t>
  </si>
  <si>
    <t>Autumn Winter Seasonal</t>
  </si>
  <si>
    <t>Autumn Seasonal Beer</t>
  </si>
  <si>
    <t>30B</t>
  </si>
  <si>
    <t>Winter Seasonal Beer</t>
  </si>
  <si>
    <t>30C</t>
  </si>
  <si>
    <t>Smoke Beer</t>
  </si>
  <si>
    <t>Rauchbier</t>
  </si>
  <si>
    <t>06B</t>
  </si>
  <si>
    <t>Historic Lichtenhainer</t>
  </si>
  <si>
    <t>27A3</t>
  </si>
  <si>
    <t>Historic Piwo Grodziskie</t>
  </si>
  <si>
    <t>27A5</t>
  </si>
  <si>
    <t>Classic Style Smoked Beer</t>
  </si>
  <si>
    <t>32A</t>
  </si>
  <si>
    <t>Specialty Smoked Beer</t>
  </si>
  <si>
    <t>32B</t>
  </si>
  <si>
    <t>Wood Aged Beer</t>
  </si>
  <si>
    <t>33A</t>
  </si>
  <si>
    <t>Specialty Wood Aged Beer</t>
  </si>
  <si>
    <t>33B</t>
  </si>
  <si>
    <t>American Wild Ale</t>
  </si>
  <si>
    <t>Brett Beer</t>
  </si>
  <si>
    <t>28A</t>
  </si>
  <si>
    <t>Mixed Fermentation Sour Beer</t>
  </si>
  <si>
    <t>28B</t>
  </si>
  <si>
    <t>Wild Specialty Beer</t>
  </si>
  <si>
    <t>28C</t>
  </si>
  <si>
    <t>Straight Sour Beer</t>
  </si>
  <si>
    <t>28D</t>
  </si>
  <si>
    <t>Catharina Sour</t>
  </si>
  <si>
    <t>LSX4</t>
  </si>
  <si>
    <t>Specialty Beer</t>
  </si>
  <si>
    <t>Historical Beer</t>
  </si>
  <si>
    <t>27A</t>
  </si>
  <si>
    <t>Historic Sahti</t>
  </si>
  <si>
    <t>27A9</t>
  </si>
  <si>
    <t>Alternative Grain Beer</t>
  </si>
  <si>
    <t>31A</t>
  </si>
  <si>
    <t>Alternative Sugar Beer</t>
  </si>
  <si>
    <t>31B</t>
  </si>
  <si>
    <t>Commercial Specialty Beer</t>
  </si>
  <si>
    <t>34A</t>
  </si>
  <si>
    <t>Mixed Style Beer</t>
  </si>
  <si>
    <t>34B</t>
  </si>
  <si>
    <t>Experimental Beer</t>
  </si>
  <si>
    <t>34C</t>
  </si>
  <si>
    <t>Traditional Mead</t>
  </si>
  <si>
    <t>Dry Mead *</t>
  </si>
  <si>
    <t>M1A</t>
  </si>
  <si>
    <t>Semi Sweet Mead *</t>
  </si>
  <si>
    <t>M1B</t>
  </si>
  <si>
    <t>Sweet Mead *</t>
  </si>
  <si>
    <t>M1C</t>
  </si>
  <si>
    <t>Melomel</t>
  </si>
  <si>
    <t>Cyser</t>
  </si>
  <si>
    <t>M2A</t>
  </si>
  <si>
    <t>Pyment *</t>
  </si>
  <si>
    <t>M2B</t>
  </si>
  <si>
    <t>Berry Mead *</t>
  </si>
  <si>
    <t>M2C</t>
  </si>
  <si>
    <t>Stone Fruit Mead *</t>
  </si>
  <si>
    <t>M2D</t>
  </si>
  <si>
    <t>Melomel *</t>
  </si>
  <si>
    <t>M2E</t>
  </si>
  <si>
    <t>Spiced And Specialty Mead</t>
  </si>
  <si>
    <t>Fruit And Spice Mead *</t>
  </si>
  <si>
    <t>M3A</t>
  </si>
  <si>
    <t>Spice Herb Vegetable Mead *</t>
  </si>
  <si>
    <t>M3B</t>
  </si>
  <si>
    <t>Braggot *</t>
  </si>
  <si>
    <t>M4A</t>
  </si>
  <si>
    <t>Historical Mead</t>
  </si>
  <si>
    <t>M4B</t>
  </si>
  <si>
    <t>Experimental Mead</t>
  </si>
  <si>
    <t>M4C</t>
  </si>
  <si>
    <t>Cider And Perry</t>
  </si>
  <si>
    <t>New World Cider</t>
  </si>
  <si>
    <t>C1A</t>
  </si>
  <si>
    <t>English Cider</t>
  </si>
  <si>
    <t>C1B</t>
  </si>
  <si>
    <t>French Cider</t>
  </si>
  <si>
    <t>C1C</t>
  </si>
  <si>
    <t>New World Perry</t>
  </si>
  <si>
    <t>C1D</t>
  </si>
  <si>
    <t>Traditional Perry</t>
  </si>
  <si>
    <t>C1E</t>
  </si>
  <si>
    <t>Specialty Cider And Perry</t>
  </si>
  <si>
    <t>New England Cider</t>
  </si>
  <si>
    <t>C2A</t>
  </si>
  <si>
    <t>Cider With Other Fruit *</t>
  </si>
  <si>
    <t>C2B</t>
  </si>
  <si>
    <t>Apple Wine</t>
  </si>
  <si>
    <t>C2C</t>
  </si>
  <si>
    <t>Ice Cider</t>
  </si>
  <si>
    <t>C2D</t>
  </si>
  <si>
    <t>Cider With Herbs/Spices *</t>
  </si>
  <si>
    <t>C2E</t>
  </si>
  <si>
    <t>Specialty Cider/Perry *</t>
  </si>
  <si>
    <t>C2F</t>
  </si>
  <si>
    <t xml:space="preserve">BBO JUDGING SCHEDULE 2026 </t>
  </si>
  <si>
    <t>`</t>
  </si>
  <si>
    <t xml:space="preserve">ARLINGTON </t>
  </si>
  <si>
    <t>DALLAS</t>
  </si>
  <si>
    <t>GRAPEVINE</t>
  </si>
  <si>
    <t>KELLER</t>
  </si>
  <si>
    <t>COMMMENTS</t>
  </si>
  <si>
    <t>Friday evening</t>
  </si>
  <si>
    <t>68 PALE AMERICAN ALE</t>
  </si>
  <si>
    <t>72 AMERICAN IPA</t>
  </si>
  <si>
    <t>60 Strong European Beer</t>
  </si>
  <si>
    <t>77 European Sour Ale</t>
  </si>
  <si>
    <t>BIG BEER NIGHT</t>
  </si>
  <si>
    <t>Saturday Morning</t>
  </si>
  <si>
    <t>53 Pale German Beer</t>
  </si>
  <si>
    <t>55 Kolsch and Blonde</t>
  </si>
  <si>
    <t>75 HAZY AND EXPERIMENTAL IPA</t>
  </si>
  <si>
    <t>59 Dark European Lager</t>
  </si>
  <si>
    <t>Saturday Afternoon</t>
  </si>
  <si>
    <t>61 GERMAN WHEAT BEER</t>
  </si>
  <si>
    <t>69 AMBER AND BROWN AMERICAN BEER</t>
  </si>
  <si>
    <t>53 Commonwealth Beer</t>
  </si>
  <si>
    <t>71 AMERICAN PORTER AND STOUT</t>
  </si>
  <si>
    <t>Monday Evening</t>
  </si>
  <si>
    <t xml:space="preserve">73 SPECIALTY IPA </t>
  </si>
  <si>
    <t>67 STRONG BRITISH ALE</t>
  </si>
  <si>
    <t>75 STRONG AMERICAN ALE</t>
  </si>
  <si>
    <t>71 IMPERIAL STOUT</t>
  </si>
  <si>
    <t>76 Barleywines</t>
  </si>
  <si>
    <t>54 Pale European Lager</t>
  </si>
  <si>
    <t>90 MELOMEL</t>
  </si>
  <si>
    <t>52 LIGHT ALE</t>
  </si>
  <si>
    <t>50 Pale Lager</t>
  </si>
  <si>
    <t>Saturday afternoon</t>
  </si>
  <si>
    <t>57 European Ambers and Bocks</t>
  </si>
  <si>
    <t>89 TRADITIONAL MEAD</t>
  </si>
  <si>
    <t>56 Oktoberfest</t>
  </si>
  <si>
    <t>85 Smoke Beer</t>
  </si>
  <si>
    <t>81 STRONG DARK BELGAIN ALE</t>
  </si>
  <si>
    <t>80 STRONG LIGHT BELGIAN ALE</t>
  </si>
  <si>
    <t>91 SPICED AND SPECIALTY MEAD</t>
  </si>
  <si>
    <t>BYE WEEKEND</t>
  </si>
  <si>
    <t>Saturday morning</t>
  </si>
  <si>
    <t>83 SPICE HERB VEGETABLE BEER</t>
  </si>
  <si>
    <t>65 STOUT AND PORTER</t>
  </si>
  <si>
    <t>82 FRUIT BEER</t>
  </si>
  <si>
    <t>64 SCOTTISH AND IRISH</t>
  </si>
  <si>
    <t>79 Belgian Blonde and Saison</t>
  </si>
  <si>
    <t>58 Amber Bitter European Beer</t>
  </si>
  <si>
    <t>86 WOOD AGED BEER</t>
  </si>
  <si>
    <t>85 Autumn Winter Seasonal</t>
  </si>
  <si>
    <t>87 AMERICAN WILD ALE</t>
  </si>
  <si>
    <t>63 British Bitter</t>
  </si>
  <si>
    <t>89 SPECIALTY BEER</t>
  </si>
  <si>
    <t>93 SPECIALTY CIDER AND PERRY</t>
  </si>
  <si>
    <t>66 BRITISH STOUT</t>
  </si>
  <si>
    <t>92 CIDER AND PERRY</t>
  </si>
  <si>
    <t>78 Belgian Ale</t>
  </si>
  <si>
    <t>63 Brown British Beer</t>
  </si>
  <si>
    <t>TABLES JUDGED</t>
  </si>
  <si>
    <t>BIG BEERS</t>
  </si>
  <si>
    <t>NEED TO JUDGE EARLY AS BEST WHEN FRESH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</si>
</sst>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u/>
      <sz val="14"/>
      <color rgb="FF000000"/>
      <name val="Aptos Narrow"/>
      <family val="2"/>
    </font>
    <font>
      <sz val="11"/>
      <color theme="1"/>
      <name val="Calibri"/>
      <family val="2"/>
    </font>
    <font>
      <b/>
      <sz val="18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rial"/>
      <family val="2"/>
    </font>
    <font>
      <sz val="11"/>
      <color rgb="FFffffff"/>
      <name val="Aptos Narrow"/>
      <family val="2"/>
    </font>
    <font>
      <sz val="11"/>
      <color rgb="FF000000"/>
      <name val="&quot;Aptos Narrow&quot;"/>
      <family val="2"/>
    </font>
    <font>
      <b/>
      <sz val="14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8ed97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15" applyNumberFormat="1" borderId="1" applyBorder="1" fontId="5" applyFont="1" fillId="0" applyAlignment="1">
      <alignment horizontal="right"/>
    </xf>
    <xf xfId="0" numFmtId="1" applyNumberFormat="1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1" applyNumberFormat="1" borderId="2" applyBorder="1" fontId="6" applyFont="1" fillId="2" applyFill="1" applyAlignment="1">
      <alignment horizontal="left"/>
    </xf>
    <xf xfId="0" numFmtId="0" borderId="2" applyBorder="1" fontId="6" applyFont="1" fillId="2" applyFill="1" applyAlignment="1">
      <alignment horizontal="left"/>
    </xf>
    <xf xfId="0" numFmtId="3" applyNumberFormat="1" borderId="2" applyBorder="1" fontId="6" applyFont="1" fillId="2" applyFill="1" applyAlignment="1">
      <alignment horizontal="left"/>
    </xf>
    <xf xfId="0" numFmtId="15" applyNumberFormat="1" borderId="1" applyBorder="1" fontId="7" applyFont="1" fillId="0" applyAlignment="1">
      <alignment horizontal="righ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2" applyFont="1" fillId="4" applyFill="1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3" applyNumberFormat="1" borderId="2" applyBorder="1" fontId="4" applyFont="1" fillId="3" applyFill="1" applyAlignment="1">
      <alignment horizontal="left"/>
    </xf>
    <xf xfId="0" numFmtId="15" applyNumberFormat="1" borderId="2" applyBorder="1" fontId="6" applyFont="1" fillId="2" applyFill="1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2" applyFont="1" fillId="5" applyFill="1" applyAlignment="1">
      <alignment horizontal="left"/>
    </xf>
    <xf xfId="0" numFmtId="0" borderId="1" applyBorder="1" fontId="8" applyFont="1" fillId="0" applyAlignment="1">
      <alignment horizontal="left"/>
    </xf>
    <xf xfId="0" numFmtId="3" applyNumberFormat="1" borderId="1" applyBorder="1" fontId="8" applyFont="1" fillId="0" applyAlignment="1">
      <alignment horizontal="right"/>
    </xf>
    <xf xfId="0" numFmtId="1" applyNumberFormat="1" borderId="2" applyBorder="1" fontId="4" applyFont="1" fillId="4" applyFill="1" applyAlignment="1">
      <alignment horizontal="left"/>
    </xf>
    <xf xfId="0" numFmtId="1" applyNumberFormat="1" borderId="2" applyBorder="1" fontId="2" applyFont="1" fillId="3" applyFill="1" applyAlignment="1">
      <alignment horizontal="left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/>
  </sheetViews>
  <sheetFormatPr defaultRowHeight="15" x14ac:dyDescent="0.25"/>
  <cols>
    <col min="1" max="1" style="31" width="29.576428571428572" customWidth="1" bestFit="1"/>
    <col min="2" max="2" style="6" width="19.719285714285714" customWidth="1" bestFit="1"/>
    <col min="3" max="3" style="32" width="29.14785714285714" customWidth="1" bestFit="1"/>
    <col min="4" max="4" style="32" width="36.14785714285715" customWidth="1" bestFit="1"/>
    <col min="5" max="5" style="32" width="30.14785714285714" customWidth="1" bestFit="1"/>
    <col min="6" max="6" style="32" width="31.005" customWidth="1" bestFit="1"/>
    <col min="7" max="7" style="32" width="19.719285714285714" customWidth="1" bestFit="1"/>
  </cols>
  <sheetData>
    <row x14ac:dyDescent="0.25" r="1" customHeight="1" ht="17.25">
      <c r="A1" s="8"/>
      <c r="B1" s="3"/>
      <c r="C1" s="9"/>
      <c r="D1" s="9"/>
      <c r="E1" s="9"/>
      <c r="F1" s="9"/>
      <c r="G1" s="9"/>
    </row>
    <row x14ac:dyDescent="0.25" r="2" customHeight="1" ht="17.25">
      <c r="A2" s="8"/>
      <c r="B2" s="3"/>
      <c r="C2" s="9"/>
      <c r="D2" s="9"/>
      <c r="E2" s="9"/>
      <c r="F2" s="9"/>
      <c r="G2" s="9"/>
    </row>
    <row x14ac:dyDescent="0.25" r="3" customHeight="1" ht="26.25">
      <c r="A3" s="10" t="s">
        <v>352</v>
      </c>
      <c r="B3" s="11"/>
      <c r="C3" s="9"/>
      <c r="D3" s="9"/>
      <c r="E3" s="9" t="s">
        <v>353</v>
      </c>
      <c r="F3" s="9"/>
      <c r="G3" s="9"/>
    </row>
    <row x14ac:dyDescent="0.25" r="4" customHeight="1" ht="18.75">
      <c r="A4" s="12"/>
      <c r="B4" s="11"/>
      <c r="C4" s="9"/>
      <c r="D4" s="9"/>
      <c r="E4" s="9"/>
      <c r="F4" s="9"/>
      <c r="G4" s="9"/>
    </row>
    <row x14ac:dyDescent="0.25" r="5" customHeight="1" ht="26.25">
      <c r="A5" s="13"/>
      <c r="B5" s="11"/>
      <c r="C5" s="14" t="s">
        <v>354</v>
      </c>
      <c r="D5" s="14" t="s">
        <v>355</v>
      </c>
      <c r="E5" s="14" t="s">
        <v>356</v>
      </c>
      <c r="F5" s="14" t="s">
        <v>357</v>
      </c>
      <c r="G5" s="14" t="s">
        <v>358</v>
      </c>
    </row>
    <row x14ac:dyDescent="0.25" r="6" customHeight="1" ht="18.75">
      <c r="A6" s="15"/>
      <c r="B6" s="16"/>
      <c r="C6" s="17"/>
      <c r="D6" s="17"/>
      <c r="E6" s="17"/>
      <c r="F6" s="17"/>
      <c r="G6" s="17"/>
    </row>
    <row x14ac:dyDescent="0.25" r="7" customHeight="1" ht="19.5">
      <c r="A7" s="18">
        <v>46059</v>
      </c>
      <c r="B7" s="11" t="s">
        <v>359</v>
      </c>
      <c r="C7" s="19" t="s">
        <v>360</v>
      </c>
      <c r="D7" s="20" t="s">
        <v>361</v>
      </c>
      <c r="E7" s="20" t="s">
        <v>362</v>
      </c>
      <c r="F7" s="20" t="s">
        <v>363</v>
      </c>
      <c r="G7" s="20" t="s">
        <v>364</v>
      </c>
    </row>
    <row x14ac:dyDescent="0.25" r="8" customHeight="1" ht="19.5">
      <c r="A8" s="18">
        <f>+A7+1</f>
        <v>25568.75</v>
      </c>
      <c r="B8" s="11" t="s">
        <v>365</v>
      </c>
      <c r="C8" s="19" t="s">
        <v>366</v>
      </c>
      <c r="D8" s="21" t="s">
        <v>367</v>
      </c>
      <c r="E8" s="19" t="s">
        <v>368</v>
      </c>
      <c r="F8" s="21" t="s">
        <v>369</v>
      </c>
      <c r="G8" s="9"/>
    </row>
    <row x14ac:dyDescent="0.25" r="9" customHeight="1" ht="19.5">
      <c r="A9" s="18">
        <f>+A8</f>
        <v>25568.75</v>
      </c>
      <c r="B9" s="11" t="s">
        <v>370</v>
      </c>
      <c r="C9" s="22" t="s">
        <v>371</v>
      </c>
      <c r="D9" s="21" t="s">
        <v>372</v>
      </c>
      <c r="E9" s="19" t="s">
        <v>373</v>
      </c>
      <c r="F9" s="21" t="s">
        <v>374</v>
      </c>
      <c r="G9" s="9"/>
    </row>
    <row x14ac:dyDescent="0.25" r="10" customHeight="1" ht="19.5">
      <c r="A10" s="18">
        <f>+A9+2</f>
        <v>25568.75</v>
      </c>
      <c r="B10" s="11" t="s">
        <v>375</v>
      </c>
      <c r="C10" s="9"/>
      <c r="D10" s="9"/>
      <c r="E10" s="19" t="s">
        <v>376</v>
      </c>
      <c r="F10" s="9"/>
      <c r="G10" s="9"/>
    </row>
    <row x14ac:dyDescent="0.25" r="11" customHeight="1" ht="18.75">
      <c r="A11" s="23"/>
      <c r="B11" s="16"/>
      <c r="C11" s="17"/>
      <c r="D11" s="17"/>
      <c r="E11" s="17"/>
      <c r="F11" s="17"/>
      <c r="G11" s="17"/>
    </row>
    <row x14ac:dyDescent="0.25" r="12" customHeight="1" ht="19.5">
      <c r="A12" s="18">
        <f>+A7+7</f>
        <v>25568.75</v>
      </c>
      <c r="B12" s="11" t="s">
        <v>359</v>
      </c>
      <c r="C12" s="20" t="s">
        <v>377</v>
      </c>
      <c r="D12" s="20" t="s">
        <v>378</v>
      </c>
      <c r="E12" s="20" t="s">
        <v>379</v>
      </c>
      <c r="F12" s="20" t="s">
        <v>380</v>
      </c>
      <c r="G12" s="20" t="s">
        <v>364</v>
      </c>
    </row>
    <row x14ac:dyDescent="0.25" r="13" customHeight="1" ht="18.75">
      <c r="A13" s="12">
        <f>+A8+7</f>
        <v>25568.75</v>
      </c>
      <c r="B13" s="11" t="s">
        <v>365</v>
      </c>
      <c r="C13" s="19" t="s">
        <v>381</v>
      </c>
      <c r="D13" s="9" t="s">
        <v>382</v>
      </c>
      <c r="E13" s="22" t="s">
        <v>383</v>
      </c>
      <c r="F13" s="19" t="s">
        <v>384</v>
      </c>
      <c r="G13" s="9"/>
    </row>
    <row x14ac:dyDescent="0.25" r="14" customHeight="1" ht="18.75">
      <c r="A14" s="12">
        <f>+A13</f>
        <v>25568.75</v>
      </c>
      <c r="B14" s="11" t="s">
        <v>385</v>
      </c>
      <c r="C14" s="9" t="s">
        <v>386</v>
      </c>
      <c r="D14" s="9" t="s">
        <v>387</v>
      </c>
      <c r="E14" s="9"/>
      <c r="F14" s="21" t="s">
        <v>388</v>
      </c>
      <c r="G14" s="9"/>
    </row>
    <row x14ac:dyDescent="0.25" r="15" customHeight="1" ht="19.5">
      <c r="A15" s="18">
        <f>+A10+7</f>
        <v>25568.75</v>
      </c>
      <c r="B15" s="11" t="s">
        <v>375</v>
      </c>
      <c r="C15" s="9"/>
      <c r="D15" s="9"/>
      <c r="E15" s="9" t="s">
        <v>389</v>
      </c>
      <c r="F15" s="9"/>
      <c r="G15" s="9"/>
    </row>
    <row x14ac:dyDescent="0.25" r="16" customHeight="1" ht="18.75">
      <c r="A16" s="23"/>
      <c r="B16" s="16"/>
      <c r="C16" s="17"/>
      <c r="D16" s="17"/>
      <c r="E16" s="17"/>
      <c r="F16" s="17"/>
      <c r="G16" s="17"/>
    </row>
    <row x14ac:dyDescent="0.25" r="17" customHeight="1" ht="18.75">
      <c r="A17" s="12">
        <f>+A12+7</f>
        <v>25568.75</v>
      </c>
      <c r="B17" s="11" t="s">
        <v>359</v>
      </c>
      <c r="C17" s="20" t="s">
        <v>390</v>
      </c>
      <c r="D17" s="20" t="s">
        <v>391</v>
      </c>
      <c r="E17" s="20" t="s">
        <v>392</v>
      </c>
      <c r="F17" s="24" t="s">
        <v>393</v>
      </c>
      <c r="G17" s="20" t="s">
        <v>364</v>
      </c>
    </row>
    <row x14ac:dyDescent="0.25" r="18" customHeight="1" ht="19.5">
      <c r="A18" s="18">
        <f>+A17+1</f>
        <v>25568.75</v>
      </c>
      <c r="B18" s="11" t="s">
        <v>394</v>
      </c>
      <c r="C18" s="9" t="s">
        <v>395</v>
      </c>
      <c r="D18" s="25" t="s">
        <v>396</v>
      </c>
      <c r="E18" s="9" t="s">
        <v>397</v>
      </c>
      <c r="F18" s="24" t="s">
        <v>393</v>
      </c>
      <c r="G18" s="9"/>
    </row>
    <row x14ac:dyDescent="0.25" r="19" customHeight="1" ht="19.5">
      <c r="A19" s="18">
        <f>+A14+7</f>
        <v>25568.75</v>
      </c>
      <c r="B19" s="11" t="s">
        <v>385</v>
      </c>
      <c r="C19" s="9" t="s">
        <v>398</v>
      </c>
      <c r="D19" s="21" t="s">
        <v>399</v>
      </c>
      <c r="E19" s="9"/>
      <c r="F19" s="24" t="s">
        <v>393</v>
      </c>
      <c r="G19" s="9"/>
    </row>
    <row x14ac:dyDescent="0.25" r="20" customHeight="1" ht="17.25">
      <c r="A20" s="8"/>
      <c r="B20" s="3"/>
      <c r="C20" s="9"/>
      <c r="D20" s="9"/>
      <c r="E20" s="9"/>
      <c r="F20" s="9"/>
      <c r="G20" s="9"/>
    </row>
    <row x14ac:dyDescent="0.25" r="21" customHeight="1" ht="17.25">
      <c r="A21" s="23"/>
      <c r="B21" s="16"/>
      <c r="C21" s="17"/>
      <c r="D21" s="17"/>
      <c r="E21" s="17"/>
      <c r="F21" s="17"/>
      <c r="G21" s="17"/>
    </row>
    <row x14ac:dyDescent="0.25" r="22" customHeight="1" ht="17.25">
      <c r="A22" s="18">
        <f>+A17+7</f>
        <v>25568.75</v>
      </c>
      <c r="B22" s="11" t="s">
        <v>359</v>
      </c>
      <c r="C22" s="21" t="s">
        <v>400</v>
      </c>
      <c r="D22" s="26" t="s">
        <v>401</v>
      </c>
      <c r="E22" s="20" t="s">
        <v>402</v>
      </c>
      <c r="F22" s="20" t="s">
        <v>403</v>
      </c>
      <c r="G22" s="20" t="s">
        <v>364</v>
      </c>
    </row>
    <row x14ac:dyDescent="0.25" r="23" customHeight="1" ht="17.25">
      <c r="A23" s="18">
        <f>+A18+7</f>
        <v>25568.75</v>
      </c>
      <c r="B23" s="11" t="s">
        <v>365</v>
      </c>
      <c r="C23" s="9" t="s">
        <v>404</v>
      </c>
      <c r="D23" s="9" t="s">
        <v>405</v>
      </c>
      <c r="E23" s="9" t="s">
        <v>406</v>
      </c>
      <c r="F23" s="21" t="s">
        <v>407</v>
      </c>
      <c r="G23" s="9"/>
    </row>
    <row x14ac:dyDescent="0.25" r="24" customHeight="1" ht="17.25">
      <c r="A24" s="18">
        <f>+A19+7</f>
        <v>25568.75</v>
      </c>
      <c r="B24" s="11" t="s">
        <v>370</v>
      </c>
      <c r="C24" s="9" t="s">
        <v>408</v>
      </c>
      <c r="D24" s="21" t="s">
        <v>409</v>
      </c>
      <c r="E24" s="9"/>
      <c r="F24" s="21" t="s">
        <v>410</v>
      </c>
      <c r="G24" s="9"/>
    </row>
    <row x14ac:dyDescent="0.25" r="25" customHeight="1" ht="17.25">
      <c r="A25" s="15"/>
      <c r="B25" s="16"/>
      <c r="C25" s="17"/>
      <c r="D25" s="17"/>
      <c r="E25" s="17"/>
      <c r="F25" s="17"/>
      <c r="G25" s="17"/>
    </row>
    <row x14ac:dyDescent="0.25" r="26" customHeight="1" ht="17.25">
      <c r="A26" s="8"/>
      <c r="B26" s="3"/>
      <c r="C26" s="9"/>
      <c r="D26" s="9"/>
      <c r="E26" s="9"/>
      <c r="F26" s="9"/>
      <c r="G26" s="9"/>
    </row>
    <row x14ac:dyDescent="0.25" r="27" customHeight="1" ht="17.25">
      <c r="A27" s="8"/>
      <c r="B27" s="27" t="s">
        <v>411</v>
      </c>
      <c r="C27" s="28">
        <v>12</v>
      </c>
      <c r="D27" s="28">
        <v>12</v>
      </c>
      <c r="E27" s="28">
        <v>11</v>
      </c>
      <c r="F27" s="28">
        <v>9</v>
      </c>
      <c r="G27" s="28">
        <f>SUM(C27:F27)</f>
      </c>
    </row>
    <row x14ac:dyDescent="0.25" r="28" customHeight="1" ht="17.25">
      <c r="A28" s="8"/>
      <c r="B28" s="3"/>
      <c r="C28" s="9"/>
      <c r="D28" s="9"/>
      <c r="E28" s="9"/>
      <c r="F28" s="9"/>
      <c r="G28" s="9"/>
    </row>
    <row x14ac:dyDescent="0.25" r="29" customHeight="1" ht="17.25">
      <c r="A29" s="8"/>
      <c r="B29" s="3"/>
      <c r="C29" s="9"/>
      <c r="D29" s="9"/>
      <c r="E29" s="9"/>
      <c r="F29" s="9"/>
      <c r="G29" s="9"/>
    </row>
    <row x14ac:dyDescent="0.25" r="30" customHeight="1" ht="17.25">
      <c r="A30" s="8"/>
      <c r="B30" s="3"/>
      <c r="C30" s="9"/>
      <c r="D30" s="9"/>
      <c r="E30" s="9"/>
      <c r="F30" s="9"/>
      <c r="G30" s="9"/>
    </row>
    <row x14ac:dyDescent="0.25" r="31" customHeight="1" ht="17.25">
      <c r="A31" s="8"/>
      <c r="B31" s="3"/>
      <c r="C31" s="9"/>
      <c r="D31" s="9"/>
      <c r="E31" s="9"/>
      <c r="F31" s="9"/>
      <c r="G31" s="9"/>
    </row>
    <row x14ac:dyDescent="0.25" r="32" customHeight="1" ht="17.25">
      <c r="A32" s="29" t="s">
        <v>412</v>
      </c>
      <c r="B32" s="3"/>
      <c r="C32" s="9"/>
      <c r="D32" s="9"/>
      <c r="E32" s="9"/>
      <c r="F32" s="9"/>
      <c r="G32" s="9"/>
    </row>
    <row x14ac:dyDescent="0.25" r="33" customHeight="1" ht="17.25">
      <c r="A33" s="30" t="s">
        <v>413</v>
      </c>
      <c r="B33" s="3"/>
      <c r="C33" s="9"/>
      <c r="D33" s="9"/>
      <c r="E33" s="9"/>
      <c r="F33" s="9"/>
      <c r="G3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8"/>
  <sheetViews>
    <sheetView workbookViewId="0" tabSelected="1"/>
  </sheetViews>
  <sheetFormatPr defaultRowHeight="15" x14ac:dyDescent="0.25"/>
  <cols>
    <col min="1" max="1" style="6" width="27.433571428571426" customWidth="1" bestFit="1"/>
    <col min="2" max="2" style="7" width="15.862142857142858" customWidth="1" bestFit="1"/>
    <col min="3" max="3" style="6" width="25.433571428571426" customWidth="1" bestFit="1"/>
    <col min="4" max="4" style="6" width="14.576428571428572" customWidth="1" bestFit="1"/>
    <col min="5" max="5" style="6" width="15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3" t="s">
        <v>5</v>
      </c>
      <c r="B2" s="4">
        <v>50</v>
      </c>
      <c r="C2" s="3" t="s">
        <v>6</v>
      </c>
      <c r="D2" s="3" t="s">
        <v>7</v>
      </c>
      <c r="E2" s="3" t="s">
        <v>8</v>
      </c>
    </row>
    <row x14ac:dyDescent="0.25" r="3" customHeight="1" ht="17.25">
      <c r="A3" s="3" t="s">
        <v>5</v>
      </c>
      <c r="B3" s="4">
        <v>50</v>
      </c>
      <c r="C3" s="3" t="s">
        <v>9</v>
      </c>
      <c r="D3" s="3" t="s">
        <v>10</v>
      </c>
      <c r="E3" s="3" t="s">
        <v>8</v>
      </c>
    </row>
    <row x14ac:dyDescent="0.25" r="4" customHeight="1" ht="17.25">
      <c r="A4" s="3" t="s">
        <v>5</v>
      </c>
      <c r="B4" s="4">
        <v>50</v>
      </c>
      <c r="C4" s="3" t="s">
        <v>11</v>
      </c>
      <c r="D4" s="3" t="s">
        <v>12</v>
      </c>
      <c r="E4" s="3" t="s">
        <v>8</v>
      </c>
    </row>
    <row x14ac:dyDescent="0.25" r="5" customHeight="1" ht="17.25">
      <c r="A5" s="3" t="s">
        <v>5</v>
      </c>
      <c r="B5" s="4">
        <v>50</v>
      </c>
      <c r="C5" s="3" t="s">
        <v>13</v>
      </c>
      <c r="D5" s="3" t="s">
        <v>14</v>
      </c>
      <c r="E5" s="3" t="s">
        <v>8</v>
      </c>
    </row>
    <row x14ac:dyDescent="0.25" r="6" customHeight="1" ht="17.25">
      <c r="A6" s="3"/>
      <c r="B6" s="5"/>
      <c r="C6" s="3"/>
      <c r="D6" s="3"/>
      <c r="E6" s="3"/>
    </row>
    <row x14ac:dyDescent="0.25" r="7" customHeight="1" ht="17.25">
      <c r="A7" s="3" t="s">
        <v>15</v>
      </c>
      <c r="B7" s="4">
        <v>51</v>
      </c>
      <c r="C7" s="3" t="s">
        <v>16</v>
      </c>
      <c r="D7" s="3" t="s">
        <v>17</v>
      </c>
      <c r="E7" s="3" t="s">
        <v>8</v>
      </c>
    </row>
    <row x14ac:dyDescent="0.25" r="8" customHeight="1" ht="17.25">
      <c r="A8" s="3" t="s">
        <v>15</v>
      </c>
      <c r="B8" s="4">
        <v>51</v>
      </c>
      <c r="C8" s="3" t="s">
        <v>18</v>
      </c>
      <c r="D8" s="3" t="s">
        <v>19</v>
      </c>
      <c r="E8" s="3" t="s">
        <v>8</v>
      </c>
    </row>
    <row x14ac:dyDescent="0.25" r="9" customHeight="1" ht="17.25">
      <c r="A9" s="3"/>
      <c r="B9" s="5"/>
      <c r="C9" s="3"/>
      <c r="D9" s="3"/>
      <c r="E9" s="3"/>
    </row>
    <row x14ac:dyDescent="0.25" r="10" customHeight="1" ht="17.25">
      <c r="A10" s="3" t="s">
        <v>20</v>
      </c>
      <c r="B10" s="4">
        <v>52</v>
      </c>
      <c r="C10" s="3" t="s">
        <v>21</v>
      </c>
      <c r="D10" s="3" t="s">
        <v>22</v>
      </c>
      <c r="E10" s="3" t="s">
        <v>8</v>
      </c>
    </row>
    <row x14ac:dyDescent="0.25" r="11" customHeight="1" ht="17.25">
      <c r="A11" s="3" t="s">
        <v>20</v>
      </c>
      <c r="B11" s="4">
        <v>52</v>
      </c>
      <c r="C11" s="3" t="s">
        <v>23</v>
      </c>
      <c r="D11" s="3" t="s">
        <v>24</v>
      </c>
      <c r="E11" s="3" t="s">
        <v>8</v>
      </c>
    </row>
    <row x14ac:dyDescent="0.25" r="12" customHeight="1" ht="17.25">
      <c r="A12" s="3" t="s">
        <v>20</v>
      </c>
      <c r="B12" s="4">
        <v>52</v>
      </c>
      <c r="C12" s="3" t="s">
        <v>25</v>
      </c>
      <c r="D12" s="3" t="s">
        <v>26</v>
      </c>
      <c r="E12" s="3"/>
    </row>
    <row x14ac:dyDescent="0.25" r="13" customHeight="1" ht="17.25">
      <c r="A13" s="3" t="s">
        <v>20</v>
      </c>
      <c r="B13" s="4">
        <v>52</v>
      </c>
      <c r="C13" s="3" t="s">
        <v>27</v>
      </c>
      <c r="D13" s="3" t="s">
        <v>28</v>
      </c>
      <c r="E13" s="3" t="s">
        <v>8</v>
      </c>
    </row>
    <row x14ac:dyDescent="0.25" r="14" customHeight="1" ht="17.25">
      <c r="A14" s="3"/>
      <c r="B14" s="5"/>
      <c r="C14" s="3"/>
      <c r="D14" s="3"/>
      <c r="E14" s="3"/>
    </row>
    <row x14ac:dyDescent="0.25" r="15" customHeight="1" ht="17.25">
      <c r="A15" s="3" t="s">
        <v>29</v>
      </c>
      <c r="B15" s="4">
        <v>53</v>
      </c>
      <c r="C15" s="3" t="s">
        <v>30</v>
      </c>
      <c r="D15" s="3" t="s">
        <v>31</v>
      </c>
      <c r="E15" s="3" t="s">
        <v>8</v>
      </c>
    </row>
    <row x14ac:dyDescent="0.25" r="16" customHeight="1" ht="17.25">
      <c r="A16" s="3" t="s">
        <v>29</v>
      </c>
      <c r="B16" s="4">
        <v>53</v>
      </c>
      <c r="C16" s="3" t="s">
        <v>32</v>
      </c>
      <c r="D16" s="3" t="s">
        <v>33</v>
      </c>
      <c r="E16" s="3" t="s">
        <v>8</v>
      </c>
    </row>
    <row x14ac:dyDescent="0.25" r="17" customHeight="1" ht="17.25">
      <c r="A17" s="3" t="s">
        <v>29</v>
      </c>
      <c r="B17" s="4">
        <v>53</v>
      </c>
      <c r="C17" s="3" t="s">
        <v>34</v>
      </c>
      <c r="D17" s="3" t="s">
        <v>35</v>
      </c>
      <c r="E17" s="3" t="s">
        <v>8</v>
      </c>
    </row>
    <row x14ac:dyDescent="0.25" r="18" customHeight="1" ht="17.25">
      <c r="A18" s="3"/>
      <c r="B18" s="5"/>
      <c r="C18" s="3"/>
      <c r="D18" s="3"/>
      <c r="E18" s="3"/>
    </row>
    <row x14ac:dyDescent="0.25" r="19" customHeight="1" ht="17.25">
      <c r="A19" s="3" t="s">
        <v>36</v>
      </c>
      <c r="B19" s="4">
        <v>54</v>
      </c>
      <c r="C19" s="3" t="s">
        <v>37</v>
      </c>
      <c r="D19" s="3" t="s">
        <v>38</v>
      </c>
      <c r="E19" s="3" t="s">
        <v>8</v>
      </c>
    </row>
    <row x14ac:dyDescent="0.25" r="20" customHeight="1" ht="17.25">
      <c r="A20" s="3" t="s">
        <v>36</v>
      </c>
      <c r="B20" s="4">
        <v>54</v>
      </c>
      <c r="C20" s="3" t="s">
        <v>39</v>
      </c>
      <c r="D20" s="3" t="s">
        <v>40</v>
      </c>
      <c r="E20" s="3" t="s">
        <v>8</v>
      </c>
    </row>
    <row x14ac:dyDescent="0.25" r="21" customHeight="1" ht="17.25">
      <c r="A21" s="3" t="s">
        <v>36</v>
      </c>
      <c r="B21" s="4">
        <v>54</v>
      </c>
      <c r="C21" s="3" t="s">
        <v>41</v>
      </c>
      <c r="D21" s="3" t="s">
        <v>42</v>
      </c>
      <c r="E21" s="3" t="s">
        <v>8</v>
      </c>
    </row>
    <row x14ac:dyDescent="0.25" r="22" customHeight="1" ht="17.25">
      <c r="A22" s="3"/>
      <c r="B22" s="5"/>
      <c r="C22" s="3"/>
      <c r="D22" s="3"/>
      <c r="E22" s="3"/>
    </row>
    <row x14ac:dyDescent="0.25" r="23" customHeight="1" ht="17.25">
      <c r="A23" s="3" t="s">
        <v>43</v>
      </c>
      <c r="B23" s="4">
        <v>55</v>
      </c>
      <c r="C23" s="3" t="s">
        <v>44</v>
      </c>
      <c r="D23" s="3" t="s">
        <v>45</v>
      </c>
      <c r="E23" s="3" t="s">
        <v>8</v>
      </c>
    </row>
    <row x14ac:dyDescent="0.25" r="24" customHeight="1" ht="17.25">
      <c r="A24" s="3" t="s">
        <v>43</v>
      </c>
      <c r="B24" s="4">
        <v>55</v>
      </c>
      <c r="C24" s="3" t="s">
        <v>46</v>
      </c>
      <c r="D24" s="3" t="s">
        <v>47</v>
      </c>
      <c r="E24" s="3" t="s">
        <v>8</v>
      </c>
    </row>
    <row x14ac:dyDescent="0.25" r="25" customHeight="1" ht="17.25">
      <c r="A25" s="3"/>
      <c r="B25" s="5"/>
      <c r="C25" s="3"/>
      <c r="D25" s="3"/>
      <c r="E25" s="3"/>
    </row>
    <row x14ac:dyDescent="0.25" r="26" customHeight="1" ht="17.25">
      <c r="A26" s="3" t="s">
        <v>48</v>
      </c>
      <c r="B26" s="4">
        <v>56</v>
      </c>
      <c r="C26" s="3" t="s">
        <v>49</v>
      </c>
      <c r="D26" s="3" t="s">
        <v>50</v>
      </c>
      <c r="E26" s="3"/>
    </row>
    <row x14ac:dyDescent="0.25" r="27" customHeight="1" ht="17.25">
      <c r="A27" s="3" t="s">
        <v>48</v>
      </c>
      <c r="B27" s="4">
        <v>56</v>
      </c>
      <c r="C27" s="3" t="s">
        <v>51</v>
      </c>
      <c r="D27" s="3" t="s">
        <v>52</v>
      </c>
      <c r="E27" s="3"/>
    </row>
    <row x14ac:dyDescent="0.25" r="28" customHeight="1" ht="17.25">
      <c r="A28" s="3"/>
      <c r="B28" s="5"/>
      <c r="C28" s="3"/>
      <c r="D28" s="3"/>
      <c r="E28" s="3"/>
    </row>
    <row x14ac:dyDescent="0.25" r="29" customHeight="1" ht="17.25">
      <c r="A29" s="3" t="s">
        <v>53</v>
      </c>
      <c r="B29" s="4">
        <v>57</v>
      </c>
      <c r="C29" s="3" t="s">
        <v>54</v>
      </c>
      <c r="D29" s="3" t="s">
        <v>55</v>
      </c>
      <c r="E29" s="3"/>
    </row>
    <row x14ac:dyDescent="0.25" r="30" customHeight="1" ht="17.25">
      <c r="A30" s="3" t="s">
        <v>53</v>
      </c>
      <c r="B30" s="4">
        <v>57</v>
      </c>
      <c r="C30" s="3" t="s">
        <v>56</v>
      </c>
      <c r="D30" s="3" t="s">
        <v>57</v>
      </c>
      <c r="E30" s="3"/>
    </row>
    <row x14ac:dyDescent="0.25" r="31" customHeight="1" ht="17.25">
      <c r="A31" s="3" t="s">
        <v>53</v>
      </c>
      <c r="B31" s="4">
        <v>57</v>
      </c>
      <c r="C31" s="3" t="s">
        <v>58</v>
      </c>
      <c r="D31" s="3" t="s">
        <v>59</v>
      </c>
      <c r="E31" s="3"/>
    </row>
    <row x14ac:dyDescent="0.25" r="32" customHeight="1" ht="17.25">
      <c r="A32" s="3" t="s">
        <v>53</v>
      </c>
      <c r="B32" s="4">
        <v>57</v>
      </c>
      <c r="C32" s="3" t="s">
        <v>60</v>
      </c>
      <c r="D32" s="3" t="s">
        <v>61</v>
      </c>
      <c r="E32" s="3"/>
    </row>
    <row x14ac:dyDescent="0.25" r="33" customHeight="1" ht="17.25">
      <c r="A33" s="3"/>
      <c r="B33" s="5"/>
      <c r="C33" s="3"/>
      <c r="D33" s="3"/>
      <c r="E33" s="3"/>
    </row>
    <row x14ac:dyDescent="0.25" r="34" customHeight="1" ht="17.25">
      <c r="A34" s="3" t="s">
        <v>62</v>
      </c>
      <c r="B34" s="4">
        <v>58</v>
      </c>
      <c r="C34" s="3" t="s">
        <v>63</v>
      </c>
      <c r="D34" s="3" t="s">
        <v>64</v>
      </c>
      <c r="E34" s="3"/>
    </row>
    <row x14ac:dyDescent="0.25" r="35" customHeight="1" ht="17.25">
      <c r="A35" s="3" t="s">
        <v>62</v>
      </c>
      <c r="B35" s="4">
        <v>58</v>
      </c>
      <c r="C35" s="3" t="s">
        <v>65</v>
      </c>
      <c r="D35" s="3" t="s">
        <v>66</v>
      </c>
      <c r="E35" s="3"/>
    </row>
    <row x14ac:dyDescent="0.25" r="36" customHeight="1" ht="17.25">
      <c r="A36" s="3" t="s">
        <v>62</v>
      </c>
      <c r="B36" s="4">
        <v>58</v>
      </c>
      <c r="C36" s="3" t="s">
        <v>67</v>
      </c>
      <c r="D36" s="3" t="s">
        <v>68</v>
      </c>
      <c r="E36" s="3"/>
    </row>
    <row x14ac:dyDescent="0.25" r="37" customHeight="1" ht="17.25">
      <c r="A37" s="3"/>
      <c r="B37" s="5"/>
      <c r="C37" s="3"/>
      <c r="D37" s="3"/>
      <c r="E37" s="3"/>
    </row>
    <row x14ac:dyDescent="0.25" r="38" customHeight="1" ht="17.25">
      <c r="A38" s="3" t="s">
        <v>69</v>
      </c>
      <c r="B38" s="4">
        <v>59</v>
      </c>
      <c r="C38" s="3" t="s">
        <v>70</v>
      </c>
      <c r="D38" s="3" t="s">
        <v>71</v>
      </c>
      <c r="E38" s="3"/>
    </row>
    <row x14ac:dyDescent="0.25" r="39" customHeight="1" ht="17.25">
      <c r="A39" s="3" t="s">
        <v>69</v>
      </c>
      <c r="B39" s="4">
        <v>59</v>
      </c>
      <c r="C39" s="3" t="s">
        <v>72</v>
      </c>
      <c r="D39" s="3" t="s">
        <v>73</v>
      </c>
      <c r="E39" s="3"/>
    </row>
    <row x14ac:dyDescent="0.25" r="40" customHeight="1" ht="17.25">
      <c r="A40" s="3" t="s">
        <v>69</v>
      </c>
      <c r="B40" s="4">
        <v>59</v>
      </c>
      <c r="C40" s="3" t="s">
        <v>74</v>
      </c>
      <c r="D40" s="3" t="s">
        <v>75</v>
      </c>
      <c r="E40" s="3"/>
    </row>
    <row x14ac:dyDescent="0.25" r="41" customHeight="1" ht="17.25">
      <c r="A41" s="3" t="s">
        <v>69</v>
      </c>
      <c r="B41" s="4">
        <v>59</v>
      </c>
      <c r="C41" s="3" t="s">
        <v>76</v>
      </c>
      <c r="D41" s="3" t="s">
        <v>77</v>
      </c>
      <c r="E41" s="3"/>
    </row>
    <row x14ac:dyDescent="0.25" r="42" customHeight="1" ht="17.25">
      <c r="A42" s="3"/>
      <c r="B42" s="5"/>
      <c r="C42" s="3"/>
      <c r="D42" s="3"/>
      <c r="E42" s="3"/>
    </row>
    <row x14ac:dyDescent="0.25" r="43" customHeight="1" ht="17.25">
      <c r="A43" s="3" t="s">
        <v>78</v>
      </c>
      <c r="B43" s="4">
        <v>60</v>
      </c>
      <c r="C43" s="3" t="s">
        <v>79</v>
      </c>
      <c r="D43" s="3" t="s">
        <v>80</v>
      </c>
      <c r="E43" s="3"/>
    </row>
    <row x14ac:dyDescent="0.25" r="44" customHeight="1" ht="17.25">
      <c r="A44" s="3" t="s">
        <v>78</v>
      </c>
      <c r="B44" s="4">
        <v>60</v>
      </c>
      <c r="C44" s="3" t="s">
        <v>81</v>
      </c>
      <c r="D44" s="3" t="s">
        <v>82</v>
      </c>
      <c r="E44" s="3"/>
    </row>
    <row x14ac:dyDescent="0.25" r="45" customHeight="1" ht="17.25">
      <c r="A45" s="3" t="s">
        <v>78</v>
      </c>
      <c r="B45" s="4">
        <v>60</v>
      </c>
      <c r="C45" s="3" t="s">
        <v>83</v>
      </c>
      <c r="D45" s="3" t="s">
        <v>84</v>
      </c>
      <c r="E45" s="3"/>
    </row>
    <row x14ac:dyDescent="0.25" r="46" customHeight="1" ht="17.25">
      <c r="A46" s="3"/>
      <c r="B46" s="5"/>
      <c r="C46" s="3"/>
      <c r="D46" s="3"/>
      <c r="E46" s="3"/>
    </row>
    <row x14ac:dyDescent="0.25" r="47" customHeight="1" ht="17.25">
      <c r="A47" s="3" t="s">
        <v>85</v>
      </c>
      <c r="B47" s="4">
        <v>61</v>
      </c>
      <c r="C47" s="3" t="s">
        <v>86</v>
      </c>
      <c r="D47" s="3" t="s">
        <v>87</v>
      </c>
      <c r="E47" s="3" t="s">
        <v>8</v>
      </c>
    </row>
    <row x14ac:dyDescent="0.25" r="48" customHeight="1" ht="17.25">
      <c r="A48" s="3" t="s">
        <v>85</v>
      </c>
      <c r="B48" s="4">
        <v>61</v>
      </c>
      <c r="C48" s="3" t="s">
        <v>88</v>
      </c>
      <c r="D48" s="3" t="s">
        <v>89</v>
      </c>
      <c r="E48" s="3" t="s">
        <v>8</v>
      </c>
    </row>
    <row x14ac:dyDescent="0.25" r="49" customHeight="1" ht="17.25">
      <c r="A49" s="3" t="s">
        <v>85</v>
      </c>
      <c r="B49" s="4">
        <v>61</v>
      </c>
      <c r="C49" s="3" t="s">
        <v>90</v>
      </c>
      <c r="D49" s="3" t="s">
        <v>91</v>
      </c>
      <c r="E49" s="3" t="s">
        <v>8</v>
      </c>
    </row>
    <row x14ac:dyDescent="0.25" r="50" customHeight="1" ht="17.25">
      <c r="A50" s="3" t="s">
        <v>85</v>
      </c>
      <c r="B50" s="4">
        <v>61</v>
      </c>
      <c r="C50" s="3" t="s">
        <v>92</v>
      </c>
      <c r="D50" s="3" t="s">
        <v>93</v>
      </c>
      <c r="E50" s="3" t="s">
        <v>8</v>
      </c>
    </row>
    <row x14ac:dyDescent="0.25" r="51" customHeight="1" ht="17.25">
      <c r="A51" s="3"/>
      <c r="B51" s="5"/>
      <c r="C51" s="3"/>
      <c r="D51" s="3"/>
      <c r="E51" s="3"/>
    </row>
    <row x14ac:dyDescent="0.25" r="52" customHeight="1" ht="17.25">
      <c r="A52" s="3" t="s">
        <v>94</v>
      </c>
      <c r="B52" s="4">
        <v>62</v>
      </c>
      <c r="C52" s="3" t="s">
        <v>95</v>
      </c>
      <c r="D52" s="3" t="s">
        <v>96</v>
      </c>
      <c r="E52" s="3"/>
    </row>
    <row x14ac:dyDescent="0.25" r="53" customHeight="1" ht="17.25">
      <c r="A53" s="3" t="s">
        <v>94</v>
      </c>
      <c r="B53" s="4">
        <v>62</v>
      </c>
      <c r="C53" s="3" t="s">
        <v>97</v>
      </c>
      <c r="D53" s="3" t="s">
        <v>98</v>
      </c>
      <c r="E53" s="3"/>
    </row>
    <row x14ac:dyDescent="0.25" r="54" customHeight="1" ht="17.25">
      <c r="A54" s="3" t="s">
        <v>94</v>
      </c>
      <c r="B54" s="4">
        <v>62</v>
      </c>
      <c r="C54" s="3" t="s">
        <v>99</v>
      </c>
      <c r="D54" s="3" t="s">
        <v>100</v>
      </c>
      <c r="E54" s="3"/>
    </row>
    <row x14ac:dyDescent="0.25" r="55" customHeight="1" ht="17.25">
      <c r="A55" s="3"/>
      <c r="B55" s="5"/>
      <c r="C55" s="3"/>
      <c r="D55" s="3"/>
      <c r="E55" s="3"/>
    </row>
    <row x14ac:dyDescent="0.25" r="56" customHeight="1" ht="17.25">
      <c r="A56" s="3" t="s">
        <v>101</v>
      </c>
      <c r="B56" s="4">
        <v>63</v>
      </c>
      <c r="C56" s="3" t="s">
        <v>102</v>
      </c>
      <c r="D56" s="3" t="s">
        <v>103</v>
      </c>
      <c r="E56" s="3"/>
    </row>
    <row x14ac:dyDescent="0.25" r="57" customHeight="1" ht="17.25">
      <c r="A57" s="3" t="s">
        <v>101</v>
      </c>
      <c r="B57" s="4">
        <v>63</v>
      </c>
      <c r="C57" s="3" t="s">
        <v>104</v>
      </c>
      <c r="D57" s="3" t="s">
        <v>105</v>
      </c>
      <c r="E57" s="3"/>
    </row>
    <row x14ac:dyDescent="0.25" r="58" customHeight="1" ht="17.25">
      <c r="A58" s="3" t="s">
        <v>101</v>
      </c>
      <c r="B58" s="4">
        <v>63</v>
      </c>
      <c r="C58" s="3" t="s">
        <v>106</v>
      </c>
      <c r="D58" s="3" t="s">
        <v>107</v>
      </c>
      <c r="E58" s="3"/>
    </row>
    <row x14ac:dyDescent="0.25" r="59" customHeight="1" ht="17.25">
      <c r="A59" s="3"/>
      <c r="B59" s="5"/>
      <c r="C59" s="3"/>
      <c r="D59" s="3"/>
      <c r="E59" s="3"/>
    </row>
    <row x14ac:dyDescent="0.25" r="60" customHeight="1" ht="17.25">
      <c r="A60" s="3" t="s">
        <v>108</v>
      </c>
      <c r="B60" s="4">
        <v>64</v>
      </c>
      <c r="C60" s="3" t="s">
        <v>109</v>
      </c>
      <c r="D60" s="3" t="s">
        <v>110</v>
      </c>
      <c r="E60" s="3"/>
    </row>
    <row x14ac:dyDescent="0.25" r="61" customHeight="1" ht="17.25">
      <c r="A61" s="3" t="s">
        <v>108</v>
      </c>
      <c r="B61" s="4">
        <v>64</v>
      </c>
      <c r="C61" s="3" t="s">
        <v>111</v>
      </c>
      <c r="D61" s="3" t="s">
        <v>112</v>
      </c>
      <c r="E61" s="3"/>
    </row>
    <row x14ac:dyDescent="0.25" r="62" customHeight="1" ht="17.25">
      <c r="A62" s="3" t="s">
        <v>108</v>
      </c>
      <c r="B62" s="4">
        <v>64</v>
      </c>
      <c r="C62" s="3" t="s">
        <v>113</v>
      </c>
      <c r="D62" s="3" t="s">
        <v>114</v>
      </c>
      <c r="E62" s="3"/>
    </row>
    <row x14ac:dyDescent="0.25" r="63" customHeight="1" ht="17.25">
      <c r="A63" s="3" t="s">
        <v>108</v>
      </c>
      <c r="B63" s="4">
        <v>64</v>
      </c>
      <c r="C63" s="3" t="s">
        <v>115</v>
      </c>
      <c r="D63" s="3" t="s">
        <v>116</v>
      </c>
      <c r="E63" s="3"/>
    </row>
    <row x14ac:dyDescent="0.25" r="64" customHeight="1" ht="17.25">
      <c r="A64" s="3"/>
      <c r="B64" s="5"/>
      <c r="C64" s="3"/>
      <c r="D64" s="3"/>
      <c r="E64" s="3"/>
    </row>
    <row x14ac:dyDescent="0.25" r="65" customHeight="1" ht="17.25">
      <c r="A65" s="3" t="s">
        <v>117</v>
      </c>
      <c r="B65" s="4">
        <v>65</v>
      </c>
      <c r="C65" s="3" t="s">
        <v>118</v>
      </c>
      <c r="D65" s="3" t="s">
        <v>119</v>
      </c>
      <c r="E65" s="3"/>
    </row>
    <row x14ac:dyDescent="0.25" r="66" customHeight="1" ht="17.25">
      <c r="A66" s="3" t="s">
        <v>117</v>
      </c>
      <c r="B66" s="4">
        <v>65</v>
      </c>
      <c r="C66" s="3" t="s">
        <v>120</v>
      </c>
      <c r="D66" s="3" t="s">
        <v>121</v>
      </c>
      <c r="E66" s="3"/>
    </row>
    <row x14ac:dyDescent="0.25" r="67" customHeight="1" ht="17.25">
      <c r="A67" s="3" t="s">
        <v>117</v>
      </c>
      <c r="B67" s="4">
        <v>65</v>
      </c>
      <c r="C67" s="3" t="s">
        <v>122</v>
      </c>
      <c r="D67" s="3" t="s">
        <v>123</v>
      </c>
      <c r="E67" s="3"/>
    </row>
    <row x14ac:dyDescent="0.25" r="68" customHeight="1" ht="17.25">
      <c r="A68" s="3" t="s">
        <v>117</v>
      </c>
      <c r="B68" s="4">
        <v>65</v>
      </c>
      <c r="C68" s="3" t="s">
        <v>124</v>
      </c>
      <c r="D68" s="3" t="s">
        <v>125</v>
      </c>
      <c r="E68" s="3"/>
    </row>
    <row x14ac:dyDescent="0.25" r="69" customHeight="1" ht="17.25">
      <c r="A69" s="3"/>
      <c r="B69" s="5"/>
      <c r="C69" s="3"/>
      <c r="D69" s="3"/>
      <c r="E69" s="3"/>
    </row>
    <row x14ac:dyDescent="0.25" r="70" customHeight="1" ht="17.25">
      <c r="A70" s="3" t="s">
        <v>126</v>
      </c>
      <c r="B70" s="4">
        <v>66</v>
      </c>
      <c r="C70" s="3" t="s">
        <v>127</v>
      </c>
      <c r="D70" s="3" t="s">
        <v>128</v>
      </c>
      <c r="E70" s="3"/>
    </row>
    <row x14ac:dyDescent="0.25" r="71" customHeight="1" ht="17.25">
      <c r="A71" s="3" t="s">
        <v>126</v>
      </c>
      <c r="B71" s="4">
        <v>66</v>
      </c>
      <c r="C71" s="3" t="s">
        <v>129</v>
      </c>
      <c r="D71" s="3" t="s">
        <v>130</v>
      </c>
      <c r="E71" s="3"/>
    </row>
    <row x14ac:dyDescent="0.25" r="72" customHeight="1" ht="17.25">
      <c r="A72" s="3" t="s">
        <v>126</v>
      </c>
      <c r="B72" s="4">
        <v>66</v>
      </c>
      <c r="C72" s="3" t="s">
        <v>131</v>
      </c>
      <c r="D72" s="3" t="s">
        <v>132</v>
      </c>
      <c r="E72" s="3"/>
    </row>
    <row x14ac:dyDescent="0.25" r="73" customHeight="1" ht="17.25">
      <c r="A73" s="3"/>
      <c r="B73" s="5"/>
      <c r="C73" s="3"/>
      <c r="D73" s="3"/>
      <c r="E73" s="3"/>
    </row>
    <row x14ac:dyDescent="0.25" r="74" customHeight="1" ht="17.25">
      <c r="A74" s="3" t="s">
        <v>133</v>
      </c>
      <c r="B74" s="4">
        <v>67</v>
      </c>
      <c r="C74" s="3" t="s">
        <v>134</v>
      </c>
      <c r="D74" s="3" t="s">
        <v>135</v>
      </c>
      <c r="E74" s="3"/>
    </row>
    <row x14ac:dyDescent="0.25" r="75" customHeight="1" ht="17.25">
      <c r="A75" s="3" t="s">
        <v>133</v>
      </c>
      <c r="B75" s="4">
        <v>67</v>
      </c>
      <c r="C75" s="3" t="s">
        <v>136</v>
      </c>
      <c r="D75" s="3" t="s">
        <v>137</v>
      </c>
      <c r="E75" s="3"/>
    </row>
    <row x14ac:dyDescent="0.25" r="76" customHeight="1" ht="17.25">
      <c r="A76" s="3" t="s">
        <v>133</v>
      </c>
      <c r="B76" s="4">
        <v>67</v>
      </c>
      <c r="C76" s="3" t="s">
        <v>138</v>
      </c>
      <c r="D76" s="3" t="s">
        <v>139</v>
      </c>
      <c r="E76" s="3"/>
    </row>
    <row x14ac:dyDescent="0.25" r="77" customHeight="1" ht="17.25">
      <c r="A77" s="3" t="s">
        <v>133</v>
      </c>
      <c r="B77" s="4">
        <v>67</v>
      </c>
      <c r="C77" s="3" t="s">
        <v>140</v>
      </c>
      <c r="D77" s="3" t="s">
        <v>141</v>
      </c>
      <c r="E77" s="3"/>
    </row>
    <row x14ac:dyDescent="0.25" r="78" customHeight="1" ht="17.25">
      <c r="A78" s="3"/>
      <c r="B78" s="5"/>
      <c r="C78" s="3"/>
      <c r="D78" s="3"/>
      <c r="E78" s="3"/>
    </row>
    <row x14ac:dyDescent="0.25" r="79" customHeight="1" ht="17.25">
      <c r="A79" s="3" t="s">
        <v>142</v>
      </c>
      <c r="B79" s="4">
        <v>68</v>
      </c>
      <c r="C79" s="3" t="s">
        <v>143</v>
      </c>
      <c r="D79" s="3" t="s">
        <v>144</v>
      </c>
      <c r="E79" s="3" t="s">
        <v>8</v>
      </c>
    </row>
    <row x14ac:dyDescent="0.25" r="80" customHeight="1" ht="17.25">
      <c r="A80" s="3" t="s">
        <v>142</v>
      </c>
      <c r="B80" s="4">
        <v>68</v>
      </c>
      <c r="C80" s="3" t="s">
        <v>145</v>
      </c>
      <c r="D80" s="3" t="s">
        <v>146</v>
      </c>
      <c r="E80" s="3" t="s">
        <v>8</v>
      </c>
    </row>
    <row x14ac:dyDescent="0.25" r="81" customHeight="1" ht="17.25">
      <c r="A81" s="3"/>
      <c r="B81" s="5"/>
      <c r="C81" s="3"/>
      <c r="D81" s="3"/>
      <c r="E81" s="3"/>
    </row>
    <row x14ac:dyDescent="0.25" r="82" customHeight="1" ht="17.25">
      <c r="A82" s="3" t="s">
        <v>147</v>
      </c>
      <c r="B82" s="4">
        <v>69</v>
      </c>
      <c r="C82" s="3" t="s">
        <v>148</v>
      </c>
      <c r="D82" s="3" t="s">
        <v>149</v>
      </c>
      <c r="E82" s="3" t="s">
        <v>8</v>
      </c>
    </row>
    <row x14ac:dyDescent="0.25" r="83" customHeight="1" ht="17.25">
      <c r="A83" s="3" t="s">
        <v>147</v>
      </c>
      <c r="B83" s="4">
        <v>69</v>
      </c>
      <c r="C83" s="3" t="s">
        <v>150</v>
      </c>
      <c r="D83" s="3" t="s">
        <v>151</v>
      </c>
      <c r="E83" s="3" t="s">
        <v>8</v>
      </c>
    </row>
    <row x14ac:dyDescent="0.25" r="84" customHeight="1" ht="17.25">
      <c r="A84" s="3" t="s">
        <v>147</v>
      </c>
      <c r="B84" s="4">
        <v>69</v>
      </c>
      <c r="C84" s="3" t="s">
        <v>152</v>
      </c>
      <c r="D84" s="3" t="s">
        <v>153</v>
      </c>
      <c r="E84" s="3" t="s">
        <v>8</v>
      </c>
    </row>
    <row x14ac:dyDescent="0.25" r="85" customHeight="1" ht="17.25">
      <c r="A85" s="3" t="s">
        <v>147</v>
      </c>
      <c r="B85" s="4">
        <v>69</v>
      </c>
      <c r="C85" s="3" t="s">
        <v>154</v>
      </c>
      <c r="D85" s="3" t="s">
        <v>155</v>
      </c>
      <c r="E85" s="3" t="s">
        <v>8</v>
      </c>
    </row>
    <row x14ac:dyDescent="0.25" r="86" customHeight="1" ht="17.25">
      <c r="A86" s="3" t="s">
        <v>147</v>
      </c>
      <c r="B86" s="4">
        <v>69</v>
      </c>
      <c r="C86" s="3" t="s">
        <v>156</v>
      </c>
      <c r="D86" s="3" t="s">
        <v>157</v>
      </c>
      <c r="E86" s="3" t="s">
        <v>8</v>
      </c>
    </row>
    <row x14ac:dyDescent="0.25" r="87" customHeight="1" ht="17.25">
      <c r="A87" s="3"/>
      <c r="B87" s="5"/>
      <c r="C87" s="3"/>
      <c r="D87" s="3"/>
      <c r="E87" s="3"/>
    </row>
    <row x14ac:dyDescent="0.25" r="88" customHeight="1" ht="17.25">
      <c r="A88" s="3" t="s">
        <v>158</v>
      </c>
      <c r="B88" s="4">
        <v>70</v>
      </c>
      <c r="C88" s="3" t="s">
        <v>159</v>
      </c>
      <c r="D88" s="3" t="s">
        <v>160</v>
      </c>
      <c r="E88" s="3"/>
    </row>
    <row x14ac:dyDescent="0.25" r="89" customHeight="1" ht="17.25">
      <c r="A89" s="3" t="s">
        <v>158</v>
      </c>
      <c r="B89" s="4">
        <v>70</v>
      </c>
      <c r="C89" s="3" t="s">
        <v>161</v>
      </c>
      <c r="D89" s="3" t="s">
        <v>162</v>
      </c>
      <c r="E89" s="3"/>
    </row>
    <row x14ac:dyDescent="0.25" r="90" customHeight="1" ht="17.25">
      <c r="A90" s="3"/>
      <c r="B90" s="5"/>
      <c r="C90" s="3"/>
      <c r="D90" s="3"/>
      <c r="E90" s="3"/>
    </row>
    <row x14ac:dyDescent="0.25" r="91" customHeight="1" ht="17.25">
      <c r="A91" s="3" t="s">
        <v>163</v>
      </c>
      <c r="B91" s="4">
        <v>71</v>
      </c>
      <c r="C91" s="3" t="s">
        <v>163</v>
      </c>
      <c r="D91" s="3" t="s">
        <v>164</v>
      </c>
      <c r="E91" s="3"/>
    </row>
    <row x14ac:dyDescent="0.25" r="92" customHeight="1" ht="17.25">
      <c r="A92" s="3"/>
      <c r="B92" s="5"/>
      <c r="C92" s="3"/>
      <c r="D92" s="3"/>
      <c r="E92" s="3"/>
    </row>
    <row x14ac:dyDescent="0.25" r="93" customHeight="1" ht="17.25">
      <c r="A93" s="3" t="s">
        <v>165</v>
      </c>
      <c r="B93" s="4">
        <v>72</v>
      </c>
      <c r="C93" s="3" t="s">
        <v>165</v>
      </c>
      <c r="D93" s="3" t="s">
        <v>166</v>
      </c>
      <c r="E93" s="3" t="s">
        <v>8</v>
      </c>
    </row>
    <row x14ac:dyDescent="0.25" r="94" customHeight="1" ht="17.25">
      <c r="A94" s="3"/>
      <c r="B94" s="5"/>
      <c r="C94" s="3"/>
      <c r="D94" s="3"/>
      <c r="E94" s="3"/>
    </row>
    <row x14ac:dyDescent="0.25" r="95" customHeight="1" ht="17.25">
      <c r="A95" s="3" t="s">
        <v>167</v>
      </c>
      <c r="B95" s="4">
        <v>73</v>
      </c>
      <c r="C95" s="3" t="s">
        <v>168</v>
      </c>
      <c r="D95" s="3" t="s">
        <v>169</v>
      </c>
      <c r="E95" s="3" t="s">
        <v>8</v>
      </c>
    </row>
    <row x14ac:dyDescent="0.25" r="96" customHeight="1" ht="17.25">
      <c r="A96" s="3" t="s">
        <v>167</v>
      </c>
      <c r="B96" s="4">
        <v>73</v>
      </c>
      <c r="C96" s="3" t="s">
        <v>170</v>
      </c>
      <c r="D96" s="3" t="s">
        <v>171</v>
      </c>
      <c r="E96" s="3" t="s">
        <v>8</v>
      </c>
    </row>
    <row x14ac:dyDescent="0.25" r="97" customHeight="1" ht="17.25">
      <c r="A97" s="3" t="s">
        <v>167</v>
      </c>
      <c r="B97" s="4">
        <v>73</v>
      </c>
      <c r="C97" s="3" t="s">
        <v>172</v>
      </c>
      <c r="D97" s="3" t="s">
        <v>173</v>
      </c>
      <c r="E97" s="3" t="s">
        <v>8</v>
      </c>
    </row>
    <row x14ac:dyDescent="0.25" r="98" customHeight="1" ht="17.25">
      <c r="A98" s="3" t="s">
        <v>167</v>
      </c>
      <c r="B98" s="4">
        <v>73</v>
      </c>
      <c r="C98" s="3" t="s">
        <v>174</v>
      </c>
      <c r="D98" s="3" t="s">
        <v>175</v>
      </c>
      <c r="E98" s="3" t="s">
        <v>8</v>
      </c>
    </row>
    <row x14ac:dyDescent="0.25" r="99" customHeight="1" ht="17.25">
      <c r="A99" s="3" t="s">
        <v>167</v>
      </c>
      <c r="B99" s="4">
        <v>73</v>
      </c>
      <c r="C99" s="3" t="s">
        <v>176</v>
      </c>
      <c r="D99" s="3" t="s">
        <v>177</v>
      </c>
      <c r="E99" s="3" t="s">
        <v>8</v>
      </c>
    </row>
    <row x14ac:dyDescent="0.25" r="100" customHeight="1" ht="17.25">
      <c r="A100" s="3" t="s">
        <v>167</v>
      </c>
      <c r="B100" s="4">
        <v>73</v>
      </c>
      <c r="C100" s="3" t="s">
        <v>178</v>
      </c>
      <c r="D100" s="3" t="s">
        <v>179</v>
      </c>
      <c r="E100" s="3" t="s">
        <v>8</v>
      </c>
    </row>
    <row x14ac:dyDescent="0.25" r="101" customHeight="1" ht="17.25">
      <c r="A101" s="3" t="s">
        <v>167</v>
      </c>
      <c r="B101" s="4">
        <v>73</v>
      </c>
      <c r="C101" s="3" t="s">
        <v>180</v>
      </c>
      <c r="D101" s="3" t="s">
        <v>181</v>
      </c>
      <c r="E101" s="3" t="s">
        <v>8</v>
      </c>
    </row>
    <row x14ac:dyDescent="0.25" r="102" customHeight="1" ht="17.25">
      <c r="A102" s="3" t="s">
        <v>167</v>
      </c>
      <c r="B102" s="4">
        <v>73</v>
      </c>
      <c r="C102" s="3" t="s">
        <v>182</v>
      </c>
      <c r="D102" s="3" t="s">
        <v>183</v>
      </c>
      <c r="E102" s="3" t="s">
        <v>8</v>
      </c>
    </row>
    <row x14ac:dyDescent="0.25" r="103" customHeight="1" ht="17.25">
      <c r="A103" s="3"/>
      <c r="B103" s="5"/>
      <c r="C103" s="3"/>
      <c r="D103" s="3"/>
      <c r="E103" s="3"/>
    </row>
    <row x14ac:dyDescent="0.25" r="104" customHeight="1" ht="17.25">
      <c r="A104" s="3" t="s">
        <v>184</v>
      </c>
      <c r="B104" s="4">
        <v>74</v>
      </c>
      <c r="C104" s="3" t="s">
        <v>167</v>
      </c>
      <c r="D104" s="3" t="s">
        <v>185</v>
      </c>
      <c r="E104" s="3" t="s">
        <v>8</v>
      </c>
    </row>
    <row x14ac:dyDescent="0.25" r="105" customHeight="1" ht="17.25">
      <c r="A105" s="3" t="s">
        <v>184</v>
      </c>
      <c r="B105" s="4">
        <v>74</v>
      </c>
      <c r="C105" s="3" t="s">
        <v>186</v>
      </c>
      <c r="D105" s="3" t="s">
        <v>187</v>
      </c>
      <c r="E105" s="3" t="s">
        <v>8</v>
      </c>
    </row>
    <row x14ac:dyDescent="0.25" r="106" customHeight="1" ht="17.25">
      <c r="A106" s="3"/>
      <c r="B106" s="5"/>
      <c r="C106" s="3"/>
      <c r="D106" s="3"/>
      <c r="E106" s="3"/>
    </row>
    <row x14ac:dyDescent="0.25" r="107" customHeight="1" ht="17.25">
      <c r="A107" s="3" t="s">
        <v>188</v>
      </c>
      <c r="B107" s="4">
        <v>75</v>
      </c>
      <c r="C107" s="3" t="s">
        <v>189</v>
      </c>
      <c r="D107" s="3" t="s">
        <v>190</v>
      </c>
      <c r="E107" s="3"/>
    </row>
    <row x14ac:dyDescent="0.25" r="108" customHeight="1" ht="17.25">
      <c r="A108" s="3" t="s">
        <v>188</v>
      </c>
      <c r="B108" s="4">
        <v>75</v>
      </c>
      <c r="C108" s="3" t="s">
        <v>191</v>
      </c>
      <c r="D108" s="3" t="s">
        <v>192</v>
      </c>
      <c r="E108" s="3"/>
    </row>
    <row x14ac:dyDescent="0.25" r="109" customHeight="1" ht="17.25">
      <c r="A109" s="3" t="s">
        <v>188</v>
      </c>
      <c r="B109" s="4">
        <v>75</v>
      </c>
      <c r="C109" s="3" t="s">
        <v>193</v>
      </c>
      <c r="D109" s="3" t="s">
        <v>194</v>
      </c>
      <c r="E109" s="3"/>
    </row>
    <row x14ac:dyDescent="0.25" r="110" customHeight="1" ht="17.25">
      <c r="A110" s="3"/>
      <c r="B110" s="5"/>
      <c r="C110" s="3"/>
      <c r="D110" s="3"/>
      <c r="E110" s="3"/>
    </row>
    <row x14ac:dyDescent="0.25" r="111" customHeight="1" ht="17.25">
      <c r="A111" s="3" t="s">
        <v>195</v>
      </c>
      <c r="B111" s="4">
        <v>76</v>
      </c>
      <c r="C111" s="3" t="s">
        <v>196</v>
      </c>
      <c r="D111" s="3" t="s">
        <v>197</v>
      </c>
      <c r="E111" s="3"/>
    </row>
    <row x14ac:dyDescent="0.25" r="112" customHeight="1" ht="17.25">
      <c r="A112" s="3" t="s">
        <v>195</v>
      </c>
      <c r="B112" s="4">
        <v>76</v>
      </c>
      <c r="C112" s="3" t="s">
        <v>198</v>
      </c>
      <c r="D112" s="3" t="s">
        <v>199</v>
      </c>
      <c r="E112" s="3"/>
    </row>
    <row x14ac:dyDescent="0.25" r="113" customHeight="1" ht="17.25">
      <c r="A113" s="3"/>
      <c r="B113" s="5"/>
      <c r="C113" s="3"/>
      <c r="D113" s="3"/>
      <c r="E113" s="3"/>
    </row>
    <row x14ac:dyDescent="0.25" r="114" customHeight="1" ht="17.25">
      <c r="A114" s="3" t="s">
        <v>200</v>
      </c>
      <c r="B114" s="4">
        <v>77</v>
      </c>
      <c r="C114" s="3" t="s">
        <v>201</v>
      </c>
      <c r="D114" s="3" t="s">
        <v>202</v>
      </c>
      <c r="E114" s="3"/>
    </row>
    <row x14ac:dyDescent="0.25" r="115" customHeight="1" ht="17.25">
      <c r="A115" s="3" t="s">
        <v>200</v>
      </c>
      <c r="B115" s="4">
        <v>77</v>
      </c>
      <c r="C115" s="3" t="s">
        <v>203</v>
      </c>
      <c r="D115" s="3" t="s">
        <v>204</v>
      </c>
      <c r="E115" s="3"/>
    </row>
    <row x14ac:dyDescent="0.25" r="116" customHeight="1" ht="17.25">
      <c r="A116" s="3" t="s">
        <v>200</v>
      </c>
      <c r="B116" s="4">
        <v>77</v>
      </c>
      <c r="C116" s="3" t="s">
        <v>205</v>
      </c>
      <c r="D116" s="3" t="s">
        <v>206</v>
      </c>
      <c r="E116" s="3"/>
    </row>
    <row x14ac:dyDescent="0.25" r="117" customHeight="1" ht="17.25">
      <c r="A117" s="3" t="s">
        <v>200</v>
      </c>
      <c r="B117" s="4">
        <v>77</v>
      </c>
      <c r="C117" s="3" t="s">
        <v>207</v>
      </c>
      <c r="D117" s="3" t="s">
        <v>208</v>
      </c>
      <c r="E117" s="3"/>
    </row>
    <row x14ac:dyDescent="0.25" r="118" customHeight="1" ht="17.25">
      <c r="A118" s="3" t="s">
        <v>200</v>
      </c>
      <c r="B118" s="4">
        <v>77</v>
      </c>
      <c r="C118" s="3" t="s">
        <v>209</v>
      </c>
      <c r="D118" s="3" t="s">
        <v>210</v>
      </c>
      <c r="E118" s="3"/>
    </row>
    <row x14ac:dyDescent="0.25" r="119" customHeight="1" ht="17.25">
      <c r="A119" s="3" t="s">
        <v>200</v>
      </c>
      <c r="B119" s="4">
        <v>77</v>
      </c>
      <c r="C119" s="3" t="s">
        <v>211</v>
      </c>
      <c r="D119" s="3" t="s">
        <v>212</v>
      </c>
      <c r="E119" s="3"/>
    </row>
    <row x14ac:dyDescent="0.25" r="120" customHeight="1" ht="17.25">
      <c r="A120" s="3" t="s">
        <v>200</v>
      </c>
      <c r="B120" s="4">
        <v>77</v>
      </c>
      <c r="C120" s="3" t="s">
        <v>213</v>
      </c>
      <c r="D120" s="3" t="s">
        <v>214</v>
      </c>
      <c r="E120" s="3"/>
    </row>
    <row x14ac:dyDescent="0.25" r="121" customHeight="1" ht="17.25">
      <c r="A121" s="3"/>
      <c r="B121" s="5"/>
      <c r="C121" s="3"/>
      <c r="D121" s="3"/>
      <c r="E121" s="3"/>
    </row>
    <row x14ac:dyDescent="0.25" r="122" customHeight="1" ht="17.25">
      <c r="A122" s="3" t="s">
        <v>215</v>
      </c>
      <c r="B122" s="4">
        <v>78</v>
      </c>
      <c r="C122" s="3" t="s">
        <v>216</v>
      </c>
      <c r="D122" s="3" t="s">
        <v>217</v>
      </c>
      <c r="E122" s="3"/>
    </row>
    <row x14ac:dyDescent="0.25" r="123" customHeight="1" ht="17.25">
      <c r="A123" s="3" t="s">
        <v>215</v>
      </c>
      <c r="B123" s="4">
        <v>78</v>
      </c>
      <c r="C123" s="3" t="s">
        <v>218</v>
      </c>
      <c r="D123" s="3" t="s">
        <v>219</v>
      </c>
      <c r="E123" s="3"/>
    </row>
    <row x14ac:dyDescent="0.25" r="124" customHeight="1" ht="17.25">
      <c r="A124" s="3" t="s">
        <v>215</v>
      </c>
      <c r="B124" s="4">
        <v>78</v>
      </c>
      <c r="C124" s="3" t="s">
        <v>220</v>
      </c>
      <c r="D124" s="3" t="s">
        <v>221</v>
      </c>
      <c r="E124" s="3"/>
    </row>
    <row x14ac:dyDescent="0.25" r="125" customHeight="1" ht="17.25">
      <c r="A125" s="3" t="s">
        <v>215</v>
      </c>
      <c r="B125" s="4">
        <v>78</v>
      </c>
      <c r="C125" s="3" t="s">
        <v>222</v>
      </c>
      <c r="D125" s="3" t="s">
        <v>223</v>
      </c>
      <c r="E125" s="3"/>
    </row>
    <row x14ac:dyDescent="0.25" r="126" customHeight="1" ht="17.25">
      <c r="A126" s="3"/>
      <c r="B126" s="5"/>
      <c r="C126" s="3"/>
      <c r="D126" s="3"/>
      <c r="E126" s="3"/>
    </row>
    <row x14ac:dyDescent="0.25" r="127" customHeight="1" ht="17.25">
      <c r="A127" s="3" t="s">
        <v>224</v>
      </c>
      <c r="B127" s="4">
        <v>79</v>
      </c>
      <c r="C127" s="3" t="s">
        <v>225</v>
      </c>
      <c r="D127" s="3" t="s">
        <v>226</v>
      </c>
      <c r="E127" s="3"/>
    </row>
    <row x14ac:dyDescent="0.25" r="128" customHeight="1" ht="17.25">
      <c r="A128" s="3" t="s">
        <v>224</v>
      </c>
      <c r="B128" s="4">
        <v>79</v>
      </c>
      <c r="C128" s="3" t="s">
        <v>227</v>
      </c>
      <c r="D128" s="3" t="s">
        <v>228</v>
      </c>
      <c r="E128" s="3"/>
    </row>
    <row x14ac:dyDescent="0.25" r="129" customHeight="1" ht="17.25">
      <c r="A129" s="3"/>
      <c r="B129" s="5"/>
      <c r="C129" s="3"/>
      <c r="D129" s="3"/>
      <c r="E129" s="3"/>
    </row>
    <row x14ac:dyDescent="0.25" r="130" customHeight="1" ht="17.25">
      <c r="A130" s="3" t="s">
        <v>229</v>
      </c>
      <c r="B130" s="4">
        <v>80</v>
      </c>
      <c r="C130" s="3" t="s">
        <v>230</v>
      </c>
      <c r="D130" s="3" t="s">
        <v>231</v>
      </c>
      <c r="E130" s="3"/>
    </row>
    <row x14ac:dyDescent="0.25" r="131" customHeight="1" ht="17.25">
      <c r="A131" s="3" t="s">
        <v>229</v>
      </c>
      <c r="B131" s="4">
        <v>80</v>
      </c>
      <c r="C131" s="3" t="s">
        <v>232</v>
      </c>
      <c r="D131" s="3" t="s">
        <v>233</v>
      </c>
      <c r="E131" s="3"/>
    </row>
    <row x14ac:dyDescent="0.25" r="132" customHeight="1" ht="17.25">
      <c r="A132" s="3"/>
      <c r="B132" s="5"/>
      <c r="C132" s="3"/>
      <c r="D132" s="3"/>
      <c r="E132" s="3"/>
    </row>
    <row x14ac:dyDescent="0.25" r="133" customHeight="1" ht="17.25">
      <c r="A133" s="3" t="s">
        <v>234</v>
      </c>
      <c r="B133" s="4">
        <v>81</v>
      </c>
      <c r="C133" s="3" t="s">
        <v>235</v>
      </c>
      <c r="D133" s="3" t="s">
        <v>236</v>
      </c>
      <c r="E133" s="3"/>
    </row>
    <row x14ac:dyDescent="0.25" r="134" customHeight="1" ht="17.25">
      <c r="A134" s="3" t="s">
        <v>234</v>
      </c>
      <c r="B134" s="4">
        <v>81</v>
      </c>
      <c r="C134" s="3" t="s">
        <v>237</v>
      </c>
      <c r="D134" s="3" t="s">
        <v>238</v>
      </c>
      <c r="E134" s="3"/>
    </row>
    <row x14ac:dyDescent="0.25" r="135" customHeight="1" ht="17.25">
      <c r="A135" s="3"/>
      <c r="B135" s="5"/>
      <c r="C135" s="3"/>
      <c r="D135" s="3"/>
      <c r="E135" s="3"/>
    </row>
    <row x14ac:dyDescent="0.25" r="136" customHeight="1" ht="17.25">
      <c r="A136" s="3" t="s">
        <v>239</v>
      </c>
      <c r="B136" s="4">
        <v>82</v>
      </c>
      <c r="C136" s="3" t="s">
        <v>239</v>
      </c>
      <c r="D136" s="3" t="s">
        <v>240</v>
      </c>
      <c r="E136" s="3"/>
    </row>
    <row x14ac:dyDescent="0.25" r="137" customHeight="1" ht="17.25">
      <c r="A137" s="3" t="s">
        <v>239</v>
      </c>
      <c r="B137" s="4">
        <v>82</v>
      </c>
      <c r="C137" s="3" t="s">
        <v>241</v>
      </c>
      <c r="D137" s="3" t="s">
        <v>242</v>
      </c>
      <c r="E137" s="3"/>
    </row>
    <row x14ac:dyDescent="0.25" r="138" customHeight="1" ht="17.25">
      <c r="A138" s="3" t="s">
        <v>239</v>
      </c>
      <c r="B138" s="4">
        <v>82</v>
      </c>
      <c r="C138" s="3" t="s">
        <v>243</v>
      </c>
      <c r="D138" s="3" t="s">
        <v>244</v>
      </c>
      <c r="E138" s="3"/>
    </row>
    <row x14ac:dyDescent="0.25" r="139" customHeight="1" ht="17.25">
      <c r="A139" s="3" t="s">
        <v>239</v>
      </c>
      <c r="B139" s="4">
        <v>82</v>
      </c>
      <c r="C139" s="3" t="s">
        <v>245</v>
      </c>
      <c r="D139" s="3" t="s">
        <v>246</v>
      </c>
      <c r="E139" s="3"/>
    </row>
    <row x14ac:dyDescent="0.25" r="140" customHeight="1" ht="17.25">
      <c r="A140" s="3" t="s">
        <v>239</v>
      </c>
      <c r="B140" s="4">
        <v>82</v>
      </c>
      <c r="C140" s="3" t="s">
        <v>247</v>
      </c>
      <c r="D140" s="3" t="s">
        <v>248</v>
      </c>
      <c r="E140" s="3"/>
    </row>
    <row x14ac:dyDescent="0.25" r="141" customHeight="1" ht="17.25">
      <c r="A141" s="3"/>
      <c r="B141" s="5"/>
      <c r="C141" s="3"/>
      <c r="D141" s="3"/>
      <c r="E141" s="3"/>
    </row>
    <row x14ac:dyDescent="0.25" r="142" customHeight="1" ht="17.25">
      <c r="A142" s="3" t="s">
        <v>249</v>
      </c>
      <c r="B142" s="4">
        <v>83</v>
      </c>
      <c r="C142" s="3" t="s">
        <v>249</v>
      </c>
      <c r="D142" s="3" t="s">
        <v>250</v>
      </c>
      <c r="E142" s="3"/>
    </row>
    <row x14ac:dyDescent="0.25" r="143" customHeight="1" ht="17.25">
      <c r="A143" s="3" t="s">
        <v>249</v>
      </c>
      <c r="B143" s="4">
        <v>83</v>
      </c>
      <c r="C143" s="3" t="s">
        <v>251</v>
      </c>
      <c r="D143" s="3" t="s">
        <v>252</v>
      </c>
      <c r="E143" s="3"/>
    </row>
    <row x14ac:dyDescent="0.25" r="144" customHeight="1" ht="17.25">
      <c r="A144" s="3"/>
      <c r="B144" s="5"/>
      <c r="C144" s="3"/>
      <c r="D144" s="3"/>
      <c r="E144" s="3"/>
    </row>
    <row x14ac:dyDescent="0.25" r="145" customHeight="1" ht="17.25">
      <c r="A145" s="3" t="s">
        <v>253</v>
      </c>
      <c r="B145" s="4">
        <v>84</v>
      </c>
      <c r="C145" s="3" t="s">
        <v>254</v>
      </c>
      <c r="D145" s="3" t="s">
        <v>255</v>
      </c>
      <c r="E145" s="3"/>
    </row>
    <row x14ac:dyDescent="0.25" r="146" customHeight="1" ht="17.25">
      <c r="A146" s="3" t="s">
        <v>253</v>
      </c>
      <c r="B146" s="4">
        <v>84</v>
      </c>
      <c r="C146" s="3" t="s">
        <v>256</v>
      </c>
      <c r="D146" s="3" t="s">
        <v>257</v>
      </c>
      <c r="E146" s="3"/>
    </row>
    <row x14ac:dyDescent="0.25" r="147" customHeight="1" ht="17.25">
      <c r="A147" s="3"/>
      <c r="B147" s="5"/>
      <c r="C147" s="3"/>
      <c r="D147" s="3"/>
      <c r="E147" s="3"/>
    </row>
    <row x14ac:dyDescent="0.25" r="148" customHeight="1" ht="17.25">
      <c r="A148" s="3" t="s">
        <v>258</v>
      </c>
      <c r="B148" s="4">
        <v>85</v>
      </c>
      <c r="C148" s="3" t="s">
        <v>259</v>
      </c>
      <c r="D148" s="3" t="s">
        <v>260</v>
      </c>
      <c r="E148" s="3"/>
    </row>
    <row x14ac:dyDescent="0.25" r="149" customHeight="1" ht="17.25">
      <c r="A149" s="3" t="s">
        <v>258</v>
      </c>
      <c r="B149" s="4">
        <v>85</v>
      </c>
      <c r="C149" s="3" t="s">
        <v>261</v>
      </c>
      <c r="D149" s="3" t="s">
        <v>262</v>
      </c>
      <c r="E149" s="3"/>
    </row>
    <row x14ac:dyDescent="0.25" r="150" customHeight="1" ht="17.25">
      <c r="A150" s="3" t="s">
        <v>258</v>
      </c>
      <c r="B150" s="4">
        <v>85</v>
      </c>
      <c r="C150" s="3" t="s">
        <v>263</v>
      </c>
      <c r="D150" s="3" t="s">
        <v>264</v>
      </c>
      <c r="E150" s="3"/>
    </row>
    <row x14ac:dyDescent="0.25" r="151" customHeight="1" ht="17.25">
      <c r="A151" s="3" t="s">
        <v>258</v>
      </c>
      <c r="B151" s="4">
        <v>85</v>
      </c>
      <c r="C151" s="3" t="s">
        <v>265</v>
      </c>
      <c r="D151" s="3" t="s">
        <v>266</v>
      </c>
      <c r="E151" s="3"/>
    </row>
    <row x14ac:dyDescent="0.25" r="152" customHeight="1" ht="17.25">
      <c r="A152" s="3" t="s">
        <v>258</v>
      </c>
      <c r="B152" s="4">
        <v>85</v>
      </c>
      <c r="C152" s="3" t="s">
        <v>267</v>
      </c>
      <c r="D152" s="3" t="s">
        <v>268</v>
      </c>
      <c r="E152" s="3"/>
    </row>
    <row x14ac:dyDescent="0.25" r="153" customHeight="1" ht="17.25">
      <c r="A153" s="3"/>
      <c r="B153" s="5"/>
      <c r="C153" s="3"/>
      <c r="D153" s="3"/>
      <c r="E153" s="3"/>
    </row>
    <row x14ac:dyDescent="0.25" r="154" customHeight="1" ht="17.25">
      <c r="A154" s="3" t="s">
        <v>269</v>
      </c>
      <c r="B154" s="4">
        <v>86</v>
      </c>
      <c r="C154" s="3" t="s">
        <v>269</v>
      </c>
      <c r="D154" s="3" t="s">
        <v>270</v>
      </c>
      <c r="E154" s="3"/>
    </row>
    <row x14ac:dyDescent="0.25" r="155" customHeight="1" ht="17.25">
      <c r="A155" s="3" t="s">
        <v>269</v>
      </c>
      <c r="B155" s="4">
        <v>86</v>
      </c>
      <c r="C155" s="3" t="s">
        <v>271</v>
      </c>
      <c r="D155" s="3" t="s">
        <v>272</v>
      </c>
      <c r="E155" s="3"/>
    </row>
    <row x14ac:dyDescent="0.25" r="156" customHeight="1" ht="17.25">
      <c r="A156" s="3"/>
      <c r="B156" s="5"/>
      <c r="C156" s="3"/>
      <c r="D156" s="3"/>
      <c r="E156" s="3"/>
    </row>
    <row x14ac:dyDescent="0.25" r="157" customHeight="1" ht="17.25">
      <c r="A157" s="3" t="s">
        <v>273</v>
      </c>
      <c r="B157" s="4">
        <v>87</v>
      </c>
      <c r="C157" s="3" t="s">
        <v>274</v>
      </c>
      <c r="D157" s="3" t="s">
        <v>275</v>
      </c>
      <c r="E157" s="3"/>
    </row>
    <row x14ac:dyDescent="0.25" r="158" customHeight="1" ht="17.25">
      <c r="A158" s="3" t="s">
        <v>273</v>
      </c>
      <c r="B158" s="4">
        <v>87</v>
      </c>
      <c r="C158" s="3" t="s">
        <v>276</v>
      </c>
      <c r="D158" s="3" t="s">
        <v>277</v>
      </c>
      <c r="E158" s="3"/>
    </row>
    <row x14ac:dyDescent="0.25" r="159" customHeight="1" ht="17.25">
      <c r="A159" s="3" t="s">
        <v>273</v>
      </c>
      <c r="B159" s="4">
        <v>87</v>
      </c>
      <c r="C159" s="3" t="s">
        <v>278</v>
      </c>
      <c r="D159" s="3" t="s">
        <v>279</v>
      </c>
      <c r="E159" s="3"/>
    </row>
    <row x14ac:dyDescent="0.25" r="160" customHeight="1" ht="17.25">
      <c r="A160" s="3" t="s">
        <v>273</v>
      </c>
      <c r="B160" s="4">
        <v>87</v>
      </c>
      <c r="C160" s="3" t="s">
        <v>280</v>
      </c>
      <c r="D160" s="3" t="s">
        <v>281</v>
      </c>
      <c r="E160" s="3"/>
    </row>
    <row x14ac:dyDescent="0.25" r="161" customHeight="1" ht="17.25">
      <c r="A161" s="3" t="s">
        <v>273</v>
      </c>
      <c r="B161" s="4">
        <v>87</v>
      </c>
      <c r="C161" s="3" t="s">
        <v>282</v>
      </c>
      <c r="D161" s="3" t="s">
        <v>283</v>
      </c>
      <c r="E161" s="3"/>
    </row>
    <row x14ac:dyDescent="0.25" r="162" customHeight="1" ht="17.25">
      <c r="A162" s="3"/>
      <c r="B162" s="5"/>
      <c r="C162" s="3"/>
      <c r="D162" s="3"/>
      <c r="E162" s="3"/>
    </row>
    <row x14ac:dyDescent="0.25" r="163" customHeight="1" ht="17.25">
      <c r="A163" s="3" t="s">
        <v>284</v>
      </c>
      <c r="B163" s="4">
        <v>88</v>
      </c>
      <c r="C163" s="3" t="s">
        <v>285</v>
      </c>
      <c r="D163" s="3" t="s">
        <v>286</v>
      </c>
      <c r="E163" s="3"/>
    </row>
    <row x14ac:dyDescent="0.25" r="164" customHeight="1" ht="17.25">
      <c r="A164" s="3" t="s">
        <v>284</v>
      </c>
      <c r="B164" s="4">
        <v>88</v>
      </c>
      <c r="C164" s="3" t="s">
        <v>287</v>
      </c>
      <c r="D164" s="3" t="s">
        <v>288</v>
      </c>
      <c r="E164" s="3"/>
    </row>
    <row x14ac:dyDescent="0.25" r="165" customHeight="1" ht="17.25">
      <c r="A165" s="3" t="s">
        <v>284</v>
      </c>
      <c r="B165" s="4">
        <v>88</v>
      </c>
      <c r="C165" s="3" t="s">
        <v>289</v>
      </c>
      <c r="D165" s="3" t="s">
        <v>290</v>
      </c>
      <c r="E165" s="3"/>
    </row>
    <row x14ac:dyDescent="0.25" r="166" customHeight="1" ht="17.25">
      <c r="A166" s="3" t="s">
        <v>284</v>
      </c>
      <c r="B166" s="4">
        <v>88</v>
      </c>
      <c r="C166" s="3" t="s">
        <v>291</v>
      </c>
      <c r="D166" s="3" t="s">
        <v>292</v>
      </c>
      <c r="E166" s="3"/>
    </row>
    <row x14ac:dyDescent="0.25" r="167" customHeight="1" ht="17.25">
      <c r="A167" s="3" t="s">
        <v>284</v>
      </c>
      <c r="B167" s="4">
        <v>88</v>
      </c>
      <c r="C167" s="3" t="s">
        <v>293</v>
      </c>
      <c r="D167" s="3" t="s">
        <v>294</v>
      </c>
      <c r="E167" s="3"/>
    </row>
    <row x14ac:dyDescent="0.25" r="168" customHeight="1" ht="17.25">
      <c r="A168" s="3" t="s">
        <v>284</v>
      </c>
      <c r="B168" s="4">
        <v>88</v>
      </c>
      <c r="C168" s="3" t="s">
        <v>295</v>
      </c>
      <c r="D168" s="3" t="s">
        <v>296</v>
      </c>
      <c r="E168" s="3"/>
    </row>
    <row x14ac:dyDescent="0.25" r="169" customHeight="1" ht="17.25">
      <c r="A169" s="3" t="s">
        <v>284</v>
      </c>
      <c r="B169" s="4">
        <v>88</v>
      </c>
      <c r="C169" s="3" t="s">
        <v>297</v>
      </c>
      <c r="D169" s="3" t="s">
        <v>298</v>
      </c>
      <c r="E169" s="3"/>
    </row>
    <row x14ac:dyDescent="0.25" r="170" customHeight="1" ht="17.25">
      <c r="A170" s="3"/>
      <c r="B170" s="5"/>
      <c r="C170" s="3"/>
      <c r="D170" s="3"/>
      <c r="E170" s="3"/>
    </row>
    <row x14ac:dyDescent="0.25" r="171" customHeight="1" ht="17.25">
      <c r="A171" s="3" t="s">
        <v>299</v>
      </c>
      <c r="B171" s="4">
        <v>89</v>
      </c>
      <c r="C171" s="3" t="s">
        <v>300</v>
      </c>
      <c r="D171" s="3" t="s">
        <v>301</v>
      </c>
      <c r="E171" s="3"/>
    </row>
    <row x14ac:dyDescent="0.25" r="172" customHeight="1" ht="17.25">
      <c r="A172" s="3" t="s">
        <v>299</v>
      </c>
      <c r="B172" s="4">
        <v>89</v>
      </c>
      <c r="C172" s="3" t="s">
        <v>302</v>
      </c>
      <c r="D172" s="3" t="s">
        <v>303</v>
      </c>
      <c r="E172" s="3"/>
    </row>
    <row x14ac:dyDescent="0.25" r="173" customHeight="1" ht="17.25">
      <c r="A173" s="3" t="s">
        <v>299</v>
      </c>
      <c r="B173" s="4">
        <v>89</v>
      </c>
      <c r="C173" s="3" t="s">
        <v>304</v>
      </c>
      <c r="D173" s="3" t="s">
        <v>305</v>
      </c>
      <c r="E173" s="3"/>
    </row>
    <row x14ac:dyDescent="0.25" r="174" customHeight="1" ht="17.25">
      <c r="A174" s="3"/>
      <c r="B174" s="5"/>
      <c r="C174" s="3"/>
      <c r="D174" s="3"/>
      <c r="E174" s="3"/>
    </row>
    <row x14ac:dyDescent="0.25" r="175" customHeight="1" ht="17.25">
      <c r="A175" s="3" t="s">
        <v>306</v>
      </c>
      <c r="B175" s="4">
        <v>90</v>
      </c>
      <c r="C175" s="3" t="s">
        <v>307</v>
      </c>
      <c r="D175" s="3" t="s">
        <v>308</v>
      </c>
      <c r="E175" s="3"/>
    </row>
    <row x14ac:dyDescent="0.25" r="176" customHeight="1" ht="17.25">
      <c r="A176" s="3" t="s">
        <v>306</v>
      </c>
      <c r="B176" s="4">
        <v>90</v>
      </c>
      <c r="C176" s="3" t="s">
        <v>309</v>
      </c>
      <c r="D176" s="3" t="s">
        <v>310</v>
      </c>
      <c r="E176" s="3"/>
    </row>
    <row x14ac:dyDescent="0.25" r="177" customHeight="1" ht="17.25">
      <c r="A177" s="3" t="s">
        <v>306</v>
      </c>
      <c r="B177" s="4">
        <v>90</v>
      </c>
      <c r="C177" s="3" t="s">
        <v>311</v>
      </c>
      <c r="D177" s="3" t="s">
        <v>312</v>
      </c>
      <c r="E177" s="3"/>
    </row>
    <row x14ac:dyDescent="0.25" r="178" customHeight="1" ht="17.25">
      <c r="A178" s="3" t="s">
        <v>306</v>
      </c>
      <c r="B178" s="4">
        <v>90</v>
      </c>
      <c r="C178" s="3" t="s">
        <v>313</v>
      </c>
      <c r="D178" s="3" t="s">
        <v>314</v>
      </c>
      <c r="E178" s="3"/>
    </row>
    <row x14ac:dyDescent="0.25" r="179" customHeight="1" ht="17.25">
      <c r="A179" s="3" t="s">
        <v>306</v>
      </c>
      <c r="B179" s="4">
        <v>90</v>
      </c>
      <c r="C179" s="3" t="s">
        <v>315</v>
      </c>
      <c r="D179" s="3" t="s">
        <v>316</v>
      </c>
      <c r="E179" s="3"/>
    </row>
    <row x14ac:dyDescent="0.25" r="180" customHeight="1" ht="17.25">
      <c r="A180" s="3"/>
      <c r="B180" s="5"/>
      <c r="C180" s="3"/>
      <c r="D180" s="3"/>
      <c r="E180" s="3"/>
    </row>
    <row x14ac:dyDescent="0.25" r="181" customHeight="1" ht="17.25">
      <c r="A181" s="3" t="s">
        <v>317</v>
      </c>
      <c r="B181" s="4">
        <v>91</v>
      </c>
      <c r="C181" s="3" t="s">
        <v>318</v>
      </c>
      <c r="D181" s="3" t="s">
        <v>319</v>
      </c>
      <c r="E181" s="3"/>
    </row>
    <row x14ac:dyDescent="0.25" r="182" customHeight="1" ht="17.25">
      <c r="A182" s="3" t="s">
        <v>317</v>
      </c>
      <c r="B182" s="4">
        <v>91</v>
      </c>
      <c r="C182" s="3" t="s">
        <v>320</v>
      </c>
      <c r="D182" s="3" t="s">
        <v>321</v>
      </c>
      <c r="E182" s="3"/>
    </row>
    <row x14ac:dyDescent="0.25" r="183" customHeight="1" ht="17.25">
      <c r="A183" s="3" t="s">
        <v>317</v>
      </c>
      <c r="B183" s="4">
        <v>91</v>
      </c>
      <c r="C183" s="3" t="s">
        <v>322</v>
      </c>
      <c r="D183" s="3" t="s">
        <v>323</v>
      </c>
      <c r="E183" s="3"/>
    </row>
    <row x14ac:dyDescent="0.25" r="184" customHeight="1" ht="17.25">
      <c r="A184" s="3" t="s">
        <v>317</v>
      </c>
      <c r="B184" s="4">
        <v>91</v>
      </c>
      <c r="C184" s="3" t="s">
        <v>324</v>
      </c>
      <c r="D184" s="3" t="s">
        <v>325</v>
      </c>
      <c r="E184" s="3"/>
    </row>
    <row x14ac:dyDescent="0.25" r="185" customHeight="1" ht="17.25">
      <c r="A185" s="3" t="s">
        <v>317</v>
      </c>
      <c r="B185" s="4">
        <v>91</v>
      </c>
      <c r="C185" s="3" t="s">
        <v>326</v>
      </c>
      <c r="D185" s="3" t="s">
        <v>327</v>
      </c>
      <c r="E185" s="3"/>
    </row>
    <row x14ac:dyDescent="0.25" r="186" customHeight="1" ht="17.25">
      <c r="A186" s="3"/>
      <c r="B186" s="5"/>
      <c r="C186" s="3"/>
      <c r="D186" s="3"/>
      <c r="E186" s="3"/>
    </row>
    <row x14ac:dyDescent="0.25" r="187" customHeight="1" ht="17.25">
      <c r="A187" s="3" t="s">
        <v>328</v>
      </c>
      <c r="B187" s="4">
        <v>92</v>
      </c>
      <c r="C187" s="3" t="s">
        <v>329</v>
      </c>
      <c r="D187" s="3" t="s">
        <v>330</v>
      </c>
      <c r="E187" s="3"/>
    </row>
    <row x14ac:dyDescent="0.25" r="188" customHeight="1" ht="17.25">
      <c r="A188" s="3" t="s">
        <v>328</v>
      </c>
      <c r="B188" s="4">
        <v>92</v>
      </c>
      <c r="C188" s="3" t="s">
        <v>331</v>
      </c>
      <c r="D188" s="3" t="s">
        <v>332</v>
      </c>
      <c r="E188" s="3"/>
    </row>
    <row x14ac:dyDescent="0.25" r="189" customHeight="1" ht="17.25">
      <c r="A189" s="3" t="s">
        <v>328</v>
      </c>
      <c r="B189" s="4">
        <v>92</v>
      </c>
      <c r="C189" s="3" t="s">
        <v>333</v>
      </c>
      <c r="D189" s="3" t="s">
        <v>334</v>
      </c>
      <c r="E189" s="3"/>
    </row>
    <row x14ac:dyDescent="0.25" r="190" customHeight="1" ht="17.25">
      <c r="A190" s="3" t="s">
        <v>328</v>
      </c>
      <c r="B190" s="4">
        <v>92</v>
      </c>
      <c r="C190" s="3" t="s">
        <v>335</v>
      </c>
      <c r="D190" s="3" t="s">
        <v>336</v>
      </c>
      <c r="E190" s="3"/>
    </row>
    <row x14ac:dyDescent="0.25" r="191" customHeight="1" ht="17.25">
      <c r="A191" s="3" t="s">
        <v>328</v>
      </c>
      <c r="B191" s="4">
        <v>92</v>
      </c>
      <c r="C191" s="3" t="s">
        <v>337</v>
      </c>
      <c r="D191" s="3" t="s">
        <v>338</v>
      </c>
      <c r="E191" s="3"/>
    </row>
    <row x14ac:dyDescent="0.25" r="192" customHeight="1" ht="17.25">
      <c r="A192" s="3"/>
      <c r="B192" s="5"/>
      <c r="C192" s="3"/>
      <c r="D192" s="3"/>
      <c r="E192" s="3"/>
    </row>
    <row x14ac:dyDescent="0.25" r="193" customHeight="1" ht="17.25">
      <c r="A193" s="3" t="s">
        <v>339</v>
      </c>
      <c r="B193" s="4">
        <v>93</v>
      </c>
      <c r="C193" s="3" t="s">
        <v>340</v>
      </c>
      <c r="D193" s="3" t="s">
        <v>341</v>
      </c>
      <c r="E193" s="3"/>
    </row>
    <row x14ac:dyDescent="0.25" r="194" customHeight="1" ht="17.25">
      <c r="A194" s="3" t="s">
        <v>339</v>
      </c>
      <c r="B194" s="4">
        <v>93</v>
      </c>
      <c r="C194" s="3" t="s">
        <v>342</v>
      </c>
      <c r="D194" s="3" t="s">
        <v>343</v>
      </c>
      <c r="E194" s="3"/>
    </row>
    <row x14ac:dyDescent="0.25" r="195" customHeight="1" ht="17.25">
      <c r="A195" s="3" t="s">
        <v>339</v>
      </c>
      <c r="B195" s="4">
        <v>93</v>
      </c>
      <c r="C195" s="3" t="s">
        <v>344</v>
      </c>
      <c r="D195" s="3" t="s">
        <v>345</v>
      </c>
      <c r="E195" s="3"/>
    </row>
    <row x14ac:dyDescent="0.25" r="196" customHeight="1" ht="17.25">
      <c r="A196" s="3" t="s">
        <v>339</v>
      </c>
      <c r="B196" s="4">
        <v>93</v>
      </c>
      <c r="C196" s="3" t="s">
        <v>346</v>
      </c>
      <c r="D196" s="3" t="s">
        <v>347</v>
      </c>
      <c r="E196" s="3"/>
    </row>
    <row x14ac:dyDescent="0.25" r="197" customHeight="1" ht="17.25">
      <c r="A197" s="3" t="s">
        <v>339</v>
      </c>
      <c r="B197" s="4">
        <v>93</v>
      </c>
      <c r="C197" s="3" t="s">
        <v>348</v>
      </c>
      <c r="D197" s="3" t="s">
        <v>349</v>
      </c>
      <c r="E197" s="3"/>
    </row>
    <row x14ac:dyDescent="0.25" r="198" customHeight="1" ht="17.25">
      <c r="A198" s="3" t="s">
        <v>339</v>
      </c>
      <c r="B198" s="4">
        <v>93</v>
      </c>
      <c r="C198" s="3" t="s">
        <v>350</v>
      </c>
      <c r="D198" s="3" t="s">
        <v>351</v>
      </c>
      <c r="E19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JUDGING SCHEDULE</vt:lpstr>
      <vt:lpstr>styles by table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2026-01-19T18:23:34.702Z</dcterms:created>
  <dcterms:modified xsi:type="dcterms:W3CDTF">2026-01-19T18:23:34.703Z</dcterms:modified>
</cp:coreProperties>
</file>