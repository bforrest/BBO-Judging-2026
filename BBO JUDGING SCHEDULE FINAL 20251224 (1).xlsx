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03a72bfcccb708/Documents/AADATA/AABLUEBONNET/BBO 2026/"/>
    </mc:Choice>
  </mc:AlternateContent>
  <xr:revisionPtr revIDLastSave="1" documentId="8_{1D63DB59-2251-4F86-B27C-E017688A03A2}" xr6:coauthVersionLast="47" xr6:coauthVersionMax="47" xr10:uidLastSave="{730EDFB1-0A63-49F4-9D59-B56557271FD1}"/>
  <bookViews>
    <workbookView xWindow="-110" yWindow="-110" windowWidth="25820" windowHeight="13900" xr2:uid="{A1A2F7F2-E4AE-4C4B-A1D9-3C9CA78030D3}"/>
  </bookViews>
  <sheets>
    <sheet name="JUDGING SCHEDULE" sheetId="1" r:id="rId1"/>
    <sheet name="styles by t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5" i="1" s="1"/>
  <c r="G27" i="1"/>
  <c r="A12" i="1"/>
  <c r="A17" i="1" s="1"/>
  <c r="A8" i="1"/>
  <c r="A9" i="1" s="1"/>
  <c r="A18" i="1" l="1"/>
  <c r="A23" i="1" s="1"/>
  <c r="A22" i="1"/>
  <c r="A13" i="1"/>
  <c r="A14" i="1" s="1"/>
  <c r="A19" i="1" s="1"/>
  <c r="A24" i="1" s="1"/>
</calcChain>
</file>

<file path=xl/sharedStrings.xml><?xml version="1.0" encoding="utf-8"?>
<sst xmlns="http://schemas.openxmlformats.org/spreadsheetml/2006/main" count="581" uniqueCount="414">
  <si>
    <t>`</t>
  </si>
  <si>
    <t xml:space="preserve">ARLINGTON </t>
  </si>
  <si>
    <t>DALLAS</t>
  </si>
  <si>
    <t>GRAPEVINE</t>
  </si>
  <si>
    <t>KELLER</t>
  </si>
  <si>
    <t>COMMMENTS</t>
  </si>
  <si>
    <t>Friday evening</t>
  </si>
  <si>
    <t>68 PALE AMERICAN ALE</t>
  </si>
  <si>
    <t>72 AMERICAN IPA</t>
  </si>
  <si>
    <t>60 Strong European Beer</t>
  </si>
  <si>
    <t>77 European Sour Ale</t>
  </si>
  <si>
    <t>BIG BEER NIGHT</t>
  </si>
  <si>
    <t>Saturday Morning</t>
  </si>
  <si>
    <t>55 Kolsch and Blonde</t>
  </si>
  <si>
    <t>53 Pale German Beer</t>
  </si>
  <si>
    <t>Saturday Afternoon</t>
  </si>
  <si>
    <t>61 GERMAN WHEAT BEER</t>
  </si>
  <si>
    <t>69 AMBER AND BROWN AMERICAN BEER</t>
  </si>
  <si>
    <t>59 Dark European Lager</t>
  </si>
  <si>
    <t>54 Pale European Lager</t>
  </si>
  <si>
    <t>76 Barleywines</t>
  </si>
  <si>
    <t>75 STRONG AMERICAN ALE</t>
  </si>
  <si>
    <t>71 IMPERIAL STOUT</t>
  </si>
  <si>
    <t>67 STRONG BRITISH ALE</t>
  </si>
  <si>
    <t>90 MELOMEL</t>
  </si>
  <si>
    <t>78 Belgian Ale</t>
  </si>
  <si>
    <t>50 Pale Lager</t>
  </si>
  <si>
    <t>Saturday afternoon</t>
  </si>
  <si>
    <t>89 TRADITIONAL MEAD</t>
  </si>
  <si>
    <t>57 European Ambers and Bocks</t>
  </si>
  <si>
    <t xml:space="preserve">73 SPECIALTY IPA </t>
  </si>
  <si>
    <t>81 STRONG DARK BELGAIN ALE</t>
  </si>
  <si>
    <t>80 STRONG LIGHT BELGIAN ALE</t>
  </si>
  <si>
    <t>91 SPICED AND SPECIALTY MEAD</t>
  </si>
  <si>
    <t>BYE WEEKEND</t>
  </si>
  <si>
    <t>Saturday morning</t>
  </si>
  <si>
    <t>83 SPICE HERB VEGETABLE BEER</t>
  </si>
  <si>
    <t>65 STOUT AND PORTER</t>
  </si>
  <si>
    <t>64 SCOTTISH AND IRISH</t>
  </si>
  <si>
    <t>63 Brown British Beer</t>
  </si>
  <si>
    <t>79 Belgian Blonde and Saison</t>
  </si>
  <si>
    <t>92 CIDER AND PERRY</t>
  </si>
  <si>
    <t>86 WOOD AGED BEER</t>
  </si>
  <si>
    <t>87 AMERICAN WILD ALE</t>
  </si>
  <si>
    <t>82 FRUIT BEER</t>
  </si>
  <si>
    <t>66 BRITISH STOUT</t>
  </si>
  <si>
    <t>85 Smoke Beer</t>
  </si>
  <si>
    <t>56 Oktoberfest</t>
  </si>
  <si>
    <t>93 SPECIALTY CIDER AND PERRY</t>
  </si>
  <si>
    <t>58 Amber Bitter European Beer</t>
  </si>
  <si>
    <t>TABLES JUDGED</t>
  </si>
  <si>
    <t>BIG BEERS</t>
  </si>
  <si>
    <t>Medal Category Name</t>
  </si>
  <si>
    <t>Table Number</t>
  </si>
  <si>
    <t>BJCP Style Name</t>
  </si>
  <si>
    <t>BJCP Style Id</t>
  </si>
  <si>
    <t>JUDGE FRESH</t>
  </si>
  <si>
    <t>Pale Lager</t>
  </si>
  <si>
    <t>American Light Lager</t>
  </si>
  <si>
    <t>01A</t>
  </si>
  <si>
    <t>X</t>
  </si>
  <si>
    <t>American Lager</t>
  </si>
  <si>
    <t>01B</t>
  </si>
  <si>
    <t>International Pale Lager</t>
  </si>
  <si>
    <t>02A</t>
  </si>
  <si>
    <t>Historic Pre-Prohibition Lager</t>
  </si>
  <si>
    <t>27A6</t>
  </si>
  <si>
    <t>Light Ale</t>
  </si>
  <si>
    <t>Cream Ale</t>
  </si>
  <si>
    <t>01C</t>
  </si>
  <si>
    <t>American Wheat Beer</t>
  </si>
  <si>
    <t>01D</t>
  </si>
  <si>
    <t>Commonwealth Beer</t>
  </si>
  <si>
    <t>British Golden Ale</t>
  </si>
  <si>
    <t>12A</t>
  </si>
  <si>
    <t>Australian Sparkling Ale</t>
  </si>
  <si>
    <t>12B</t>
  </si>
  <si>
    <t>English IPA</t>
  </si>
  <si>
    <t>12C</t>
  </si>
  <si>
    <t>New Zealand Pilsner</t>
  </si>
  <si>
    <t>LSX5</t>
  </si>
  <si>
    <t>Pale German Beer</t>
  </si>
  <si>
    <t>Munich Helles</t>
  </si>
  <si>
    <t>04A</t>
  </si>
  <si>
    <t>German Leichtbier</t>
  </si>
  <si>
    <t>05A</t>
  </si>
  <si>
    <t>German Helles Exportbier</t>
  </si>
  <si>
    <t>05C</t>
  </si>
  <si>
    <t>Pale European Lager</t>
  </si>
  <si>
    <t>Czech Pale Lager</t>
  </si>
  <si>
    <t>03A</t>
  </si>
  <si>
    <t>Czech Premium Pale Lager</t>
  </si>
  <si>
    <t>03B</t>
  </si>
  <si>
    <t>German Pils</t>
  </si>
  <si>
    <t>05D</t>
  </si>
  <si>
    <t>Kolsch and Blonde</t>
  </si>
  <si>
    <t>Kolsch</t>
  </si>
  <si>
    <t>05B</t>
  </si>
  <si>
    <t>Blonde Ale</t>
  </si>
  <si>
    <t>18A</t>
  </si>
  <si>
    <t>Oktoberfest</t>
  </si>
  <si>
    <t>Festbier</t>
  </si>
  <si>
    <t>04B</t>
  </si>
  <si>
    <t>Marzen</t>
  </si>
  <si>
    <t>06A</t>
  </si>
  <si>
    <t>European Ambers and Bocks</t>
  </si>
  <si>
    <t>International Amber Lager</t>
  </si>
  <si>
    <t>02B</t>
  </si>
  <si>
    <t>Czech Amber Lager</t>
  </si>
  <si>
    <t>03C</t>
  </si>
  <si>
    <t>Helles Bock</t>
  </si>
  <si>
    <t>04C</t>
  </si>
  <si>
    <t>Dunkles Bock</t>
  </si>
  <si>
    <t>06C</t>
  </si>
  <si>
    <t>Amber Bitter European Beer</t>
  </si>
  <si>
    <t>Vienna Lager</t>
  </si>
  <si>
    <t>07A</t>
  </si>
  <si>
    <t>Altbier</t>
  </si>
  <si>
    <t>07B</t>
  </si>
  <si>
    <t>Kellerbier</t>
  </si>
  <si>
    <t>27A1</t>
  </si>
  <si>
    <t>Dark European Lager</t>
  </si>
  <si>
    <t>International Dark Lager</t>
  </si>
  <si>
    <t>02C</t>
  </si>
  <si>
    <t>Czech Dark Lager</t>
  </si>
  <si>
    <t>03D</t>
  </si>
  <si>
    <t>Munich Dunkel</t>
  </si>
  <si>
    <t>08A</t>
  </si>
  <si>
    <t>Schwarzbier</t>
  </si>
  <si>
    <t>08B</t>
  </si>
  <si>
    <t>Strong European Beer</t>
  </si>
  <si>
    <t>Doppelbock</t>
  </si>
  <si>
    <t>09A</t>
  </si>
  <si>
    <t>Eisbock</t>
  </si>
  <si>
    <t>09B</t>
  </si>
  <si>
    <t>Baltic Porter</t>
  </si>
  <si>
    <t>09C</t>
  </si>
  <si>
    <t>German Wheat Beer</t>
  </si>
  <si>
    <t>Weissbier</t>
  </si>
  <si>
    <t>10A</t>
  </si>
  <si>
    <t>Dunkles Weissbier</t>
  </si>
  <si>
    <t>10B</t>
  </si>
  <si>
    <t>Weizenbock</t>
  </si>
  <si>
    <t>10C</t>
  </si>
  <si>
    <t>Historic Roggenbier</t>
  </si>
  <si>
    <t>27A8</t>
  </si>
  <si>
    <t>British Bitter</t>
  </si>
  <si>
    <t>Ordinary Bitter</t>
  </si>
  <si>
    <t>11A</t>
  </si>
  <si>
    <t>Best Bitter</t>
  </si>
  <si>
    <t>11B</t>
  </si>
  <si>
    <t>Strong Bitter</t>
  </si>
  <si>
    <t>11C</t>
  </si>
  <si>
    <t>Brown British Beer</t>
  </si>
  <si>
    <t>Dark Mild</t>
  </si>
  <si>
    <t>13A</t>
  </si>
  <si>
    <t>British Brown Ale</t>
  </si>
  <si>
    <t>13B</t>
  </si>
  <si>
    <t>Historic London Brown Ale</t>
  </si>
  <si>
    <t>27A4</t>
  </si>
  <si>
    <t>Scottish and Irish Ale</t>
  </si>
  <si>
    <t>Scottish Light</t>
  </si>
  <si>
    <t>14A</t>
  </si>
  <si>
    <t>Scottish Heavy</t>
  </si>
  <si>
    <t>14B</t>
  </si>
  <si>
    <t>Scottish Export</t>
  </si>
  <si>
    <t>14C</t>
  </si>
  <si>
    <t>Irish Red Ale</t>
  </si>
  <si>
    <t>15A</t>
  </si>
  <si>
    <t>Stout and Porter</t>
  </si>
  <si>
    <t>English Porter</t>
  </si>
  <si>
    <t>13C</t>
  </si>
  <si>
    <t>Irish Stout</t>
  </si>
  <si>
    <t>15B</t>
  </si>
  <si>
    <t>Irish Extra Stout</t>
  </si>
  <si>
    <t>15C</t>
  </si>
  <si>
    <t>Foreign Extra Stout</t>
  </si>
  <si>
    <t>16D</t>
  </si>
  <si>
    <t>British Stout</t>
  </si>
  <si>
    <t>Sweet Stout</t>
  </si>
  <si>
    <t>16A</t>
  </si>
  <si>
    <t>Oatmeal Stout</t>
  </si>
  <si>
    <t>16B</t>
  </si>
  <si>
    <t>Tropical Stout</t>
  </si>
  <si>
    <t>16C</t>
  </si>
  <si>
    <t>Strong British Ale</t>
  </si>
  <si>
    <t>British Strong Ale</t>
  </si>
  <si>
    <t>17A</t>
  </si>
  <si>
    <t>Burton Ale</t>
  </si>
  <si>
    <t>17A1</t>
  </si>
  <si>
    <t>Old Ale</t>
  </si>
  <si>
    <t>17B</t>
  </si>
  <si>
    <t>Wee Heavy</t>
  </si>
  <si>
    <t>17C</t>
  </si>
  <si>
    <t>Pale American Ale</t>
  </si>
  <si>
    <t>American Pale Ale</t>
  </si>
  <si>
    <t>18B</t>
  </si>
  <si>
    <t>Dorada Pampeana</t>
  </si>
  <si>
    <t>LSX1</t>
  </si>
  <si>
    <t>Amber And Brown American Beer</t>
  </si>
  <si>
    <t>American Amber Ale</t>
  </si>
  <si>
    <t>19A</t>
  </si>
  <si>
    <t>California Common</t>
  </si>
  <si>
    <t>19B</t>
  </si>
  <si>
    <t>American Brown Ale</t>
  </si>
  <si>
    <t>19C</t>
  </si>
  <si>
    <t>Historic Kentucky Common</t>
  </si>
  <si>
    <t>27A2</t>
  </si>
  <si>
    <t>Historic Pre-Prohibition Porter</t>
  </si>
  <si>
    <t>27A7</t>
  </si>
  <si>
    <t>American Porter And Stout</t>
  </si>
  <si>
    <t>American Porter</t>
  </si>
  <si>
    <t>20A</t>
  </si>
  <si>
    <t>American Stout</t>
  </si>
  <si>
    <t>20B</t>
  </si>
  <si>
    <t>Imperial Stout</t>
  </si>
  <si>
    <t>20C</t>
  </si>
  <si>
    <t>American IPA</t>
  </si>
  <si>
    <t>21A</t>
  </si>
  <si>
    <t>Specialty IPA</t>
  </si>
  <si>
    <t>Belgian IPA</t>
  </si>
  <si>
    <t>21B1</t>
  </si>
  <si>
    <t>Black IPA</t>
  </si>
  <si>
    <t>21B2</t>
  </si>
  <si>
    <t>Brown IPA</t>
  </si>
  <si>
    <t>21B3</t>
  </si>
  <si>
    <t>Red IPA</t>
  </si>
  <si>
    <t>21B4</t>
  </si>
  <si>
    <t>Rye IPA</t>
  </si>
  <si>
    <t>21B5</t>
  </si>
  <si>
    <t>White IPA</t>
  </si>
  <si>
    <t>21B6</t>
  </si>
  <si>
    <t>Brut IPA</t>
  </si>
  <si>
    <t>21B7</t>
  </si>
  <si>
    <t>IPA Argenta</t>
  </si>
  <si>
    <t>LSX2</t>
  </si>
  <si>
    <t>Hazy and Experimental IPA</t>
  </si>
  <si>
    <t>21B</t>
  </si>
  <si>
    <t>Hazy IPA</t>
  </si>
  <si>
    <t>21C</t>
  </si>
  <si>
    <t>Strong American Ale</t>
  </si>
  <si>
    <t>Double IPA</t>
  </si>
  <si>
    <t>22A</t>
  </si>
  <si>
    <t>American Strong Ale</t>
  </si>
  <si>
    <t>22B</t>
  </si>
  <si>
    <t>Wheatwine</t>
  </si>
  <si>
    <t>22D</t>
  </si>
  <si>
    <t>Barleywines</t>
  </si>
  <si>
    <t>English Barleywine</t>
  </si>
  <si>
    <t>17D</t>
  </si>
  <si>
    <t>American Barleywine</t>
  </si>
  <si>
    <t>22C</t>
  </si>
  <si>
    <t>European Sour Ale</t>
  </si>
  <si>
    <t>Berliner Weisse</t>
  </si>
  <si>
    <t>23A</t>
  </si>
  <si>
    <t>Flanders Red Ale</t>
  </si>
  <si>
    <t>23B</t>
  </si>
  <si>
    <t>Oud Bruin</t>
  </si>
  <si>
    <t>23C</t>
  </si>
  <si>
    <t>Lambic</t>
  </si>
  <si>
    <t>23D</t>
  </si>
  <si>
    <t>Gueuze</t>
  </si>
  <si>
    <t>23E</t>
  </si>
  <si>
    <t>Fruit Lambic</t>
  </si>
  <si>
    <t>23F</t>
  </si>
  <si>
    <t>Gose</t>
  </si>
  <si>
    <t>23G</t>
  </si>
  <si>
    <t>Belgian Ale</t>
  </si>
  <si>
    <t>Witbier</t>
  </si>
  <si>
    <t>24A</t>
  </si>
  <si>
    <t>Belgian Pale Ale</t>
  </si>
  <si>
    <t>24B</t>
  </si>
  <si>
    <t>Biere De Garde</t>
  </si>
  <si>
    <t>24C</t>
  </si>
  <si>
    <t>Trappist Single</t>
  </si>
  <si>
    <t>26A</t>
  </si>
  <si>
    <t>Belgian Blonde and Saison</t>
  </si>
  <si>
    <t>Belgian Blond Ale</t>
  </si>
  <si>
    <t>25A</t>
  </si>
  <si>
    <t>Saison</t>
  </si>
  <si>
    <t>25B</t>
  </si>
  <si>
    <t>Strong Light Belgian Ale</t>
  </si>
  <si>
    <t>Belgian Golden Strong Ale</t>
  </si>
  <si>
    <t>25C</t>
  </si>
  <si>
    <t>Belgian Tripel</t>
  </si>
  <si>
    <t>26C</t>
  </si>
  <si>
    <t>Strong Dark Belgian Ale</t>
  </si>
  <si>
    <t>Belgian Dubbel</t>
  </si>
  <si>
    <t>26B</t>
  </si>
  <si>
    <t>Belgian Dark Strong Ale</t>
  </si>
  <si>
    <t>26D</t>
  </si>
  <si>
    <t>Fruit Beer</t>
  </si>
  <si>
    <t>29A</t>
  </si>
  <si>
    <t>Fruit And Spice Beer</t>
  </si>
  <si>
    <t>29B</t>
  </si>
  <si>
    <t>Specialty Fruit Beer</t>
  </si>
  <si>
    <t>29C</t>
  </si>
  <si>
    <t>Grape Ale</t>
  </si>
  <si>
    <t>29D</t>
  </si>
  <si>
    <t>Italian Grape Ale</t>
  </si>
  <si>
    <t>LSX3</t>
  </si>
  <si>
    <t>Spice Herb Vegetable Beer</t>
  </si>
  <si>
    <t>30A</t>
  </si>
  <si>
    <t>Specialty Spice Beer</t>
  </si>
  <si>
    <t>30D</t>
  </si>
  <si>
    <t>Autumn Winter Seasonal</t>
  </si>
  <si>
    <t>Autumn Seasonal Beer</t>
  </si>
  <si>
    <t>30B</t>
  </si>
  <si>
    <t>Winter Seasonal Beer</t>
  </si>
  <si>
    <t>30C</t>
  </si>
  <si>
    <t>Smoke Beer</t>
  </si>
  <si>
    <t>Rauchbier</t>
  </si>
  <si>
    <t>06B</t>
  </si>
  <si>
    <t>Historic Lichtenhainer</t>
  </si>
  <si>
    <t>27A3</t>
  </si>
  <si>
    <t>Historic Piwo Grodziskie</t>
  </si>
  <si>
    <t>27A5</t>
  </si>
  <si>
    <t>Classic Style Smoked Beer</t>
  </si>
  <si>
    <t>32A</t>
  </si>
  <si>
    <t>Specialty Smoked Beer</t>
  </si>
  <si>
    <t>32B</t>
  </si>
  <si>
    <t>Wood Aged Beer</t>
  </si>
  <si>
    <t>33A</t>
  </si>
  <si>
    <t>Specialty Wood Aged Beer</t>
  </si>
  <si>
    <t>33B</t>
  </si>
  <si>
    <t>American Wild Ale</t>
  </si>
  <si>
    <t>Brett Beer</t>
  </si>
  <si>
    <t>28A</t>
  </si>
  <si>
    <t>Mixed Fermentation Sour Beer</t>
  </si>
  <si>
    <t>28B</t>
  </si>
  <si>
    <t>Wild Specialty Beer</t>
  </si>
  <si>
    <t>28C</t>
  </si>
  <si>
    <t>Straight Sour Beer</t>
  </si>
  <si>
    <t>28D</t>
  </si>
  <si>
    <t>Catharina Sour</t>
  </si>
  <si>
    <t>LSX4</t>
  </si>
  <si>
    <t>Specialty Beer</t>
  </si>
  <si>
    <t>Historical Beer</t>
  </si>
  <si>
    <t>27A</t>
  </si>
  <si>
    <t>Historic Sahti</t>
  </si>
  <si>
    <t>27A9</t>
  </si>
  <si>
    <t>Alternative Grain Beer</t>
  </si>
  <si>
    <t>31A</t>
  </si>
  <si>
    <t>Alternative Sugar Beer</t>
  </si>
  <si>
    <t>31B</t>
  </si>
  <si>
    <t>Commercial Specialty Beer</t>
  </si>
  <si>
    <t>34A</t>
  </si>
  <si>
    <t>Mixed Style Beer</t>
  </si>
  <si>
    <t>34B</t>
  </si>
  <si>
    <t>Experimental Beer</t>
  </si>
  <si>
    <t>34C</t>
  </si>
  <si>
    <t>Traditional Mead</t>
  </si>
  <si>
    <t>Dry Mead *</t>
  </si>
  <si>
    <t>M1A</t>
  </si>
  <si>
    <t>Semi Sweet Mead *</t>
  </si>
  <si>
    <t>M1B</t>
  </si>
  <si>
    <t>Sweet Mead *</t>
  </si>
  <si>
    <t>M1C</t>
  </si>
  <si>
    <t>Melomel</t>
  </si>
  <si>
    <t>Cyser</t>
  </si>
  <si>
    <t>M2A</t>
  </si>
  <si>
    <t>Pyment *</t>
  </si>
  <si>
    <t>M2B</t>
  </si>
  <si>
    <t>Berry Mead *</t>
  </si>
  <si>
    <t>M2C</t>
  </si>
  <si>
    <t>Stone Fruit Mead *</t>
  </si>
  <si>
    <t>M2D</t>
  </si>
  <si>
    <t>Melomel *</t>
  </si>
  <si>
    <t>M2E</t>
  </si>
  <si>
    <t>Spiced And Specialty Mead</t>
  </si>
  <si>
    <t>Fruit And Spice Mead *</t>
  </si>
  <si>
    <t>M3A</t>
  </si>
  <si>
    <t>Spice Herb Vegetable Mead *</t>
  </si>
  <si>
    <t>M3B</t>
  </si>
  <si>
    <t>Braggot *</t>
  </si>
  <si>
    <t>M4A</t>
  </si>
  <si>
    <t>Historical Mead</t>
  </si>
  <si>
    <t>M4B</t>
  </si>
  <si>
    <t>Experimental Mead</t>
  </si>
  <si>
    <t>M4C</t>
  </si>
  <si>
    <t>Cider And Perry</t>
  </si>
  <si>
    <t>New World Cider</t>
  </si>
  <si>
    <t>C1A</t>
  </si>
  <si>
    <t>English Cider</t>
  </si>
  <si>
    <t>C1B</t>
  </si>
  <si>
    <t>French Cider</t>
  </si>
  <si>
    <t>C1C</t>
  </si>
  <si>
    <t>New World Perry</t>
  </si>
  <si>
    <t>C1D</t>
  </si>
  <si>
    <t>Traditional Perry</t>
  </si>
  <si>
    <t>C1E</t>
  </si>
  <si>
    <t>Specialty Cider And Perry</t>
  </si>
  <si>
    <t>New England Cider</t>
  </si>
  <si>
    <t>C2A</t>
  </si>
  <si>
    <t>Cider With Other Fruit *</t>
  </si>
  <si>
    <t>C2B</t>
  </si>
  <si>
    <t>Apple Wine</t>
  </si>
  <si>
    <t>C2C</t>
  </si>
  <si>
    <t>Ice Cider</t>
  </si>
  <si>
    <t>C2D</t>
  </si>
  <si>
    <t>Cider With Herbs/Spices *</t>
  </si>
  <si>
    <t>C2E</t>
  </si>
  <si>
    <t>Specialty Cider/Perry *</t>
  </si>
  <si>
    <t>C2F</t>
  </si>
  <si>
    <t>52 LIGHT ALE</t>
  </si>
  <si>
    <t>71 AMERICAN PORTER AND STOUT</t>
  </si>
  <si>
    <t>85 Autumn Winter Seasonal</t>
  </si>
  <si>
    <t>63 British Bitter</t>
  </si>
  <si>
    <t>53 Commonwealth Beer</t>
  </si>
  <si>
    <t>75 HAZY AND EXPERIMENTAL IPA</t>
  </si>
  <si>
    <t>89 SPECIALTY BEER</t>
  </si>
  <si>
    <t>Monday Evening</t>
  </si>
  <si>
    <t>NEED TO JUDGE EARLY AS BEST WHEN FRESH</t>
  </si>
  <si>
    <t xml:space="preserve">BBO JUDGING SCHEDULE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</si>
</sst>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9" fillId="4" borderId="1" applyNumberFormat="0" applyFont="0" applyAlignment="0" applyProtection="0"/>
    <xf numFmtId="0" fontId="10" fillId="5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5" fontId="3" fillId="0" borderId="0" xfId="0" applyNumberFormat="1" applyFont="1" applyAlignment="1">
      <alignment horizontal="right"/>
    </xf>
    <xf numFmtId="15" fontId="4" fillId="0" borderId="0" xfId="0" applyNumberFormat="1" applyFont="1" applyAlignment="1">
      <alignment horizontal="right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8" fillId="0" borderId="0" xfId="0" applyFont="1"/>
    <xf numFmtId="0" fontId="0" fillId="3" borderId="0" xfId="0" applyFill="1"/>
    <xf numFmtId="0" fontId="5" fillId="3" borderId="0" xfId="0" applyFont="1" applyFill="1"/>
    <xf numFmtId="15" fontId="10" fillId="5" borderId="0" xfId="2" applyNumberFormat="1" applyAlignment="1">
      <alignment horizontal="right"/>
    </xf>
    <xf numFmtId="0" fontId="10" fillId="5" borderId="0" xfId="2"/>
    <xf numFmtId="0" fontId="0" fillId="0" borderId="1" xfId="1" applyFont="1" applyFill="1"/>
    <xf numFmtId="0" fontId="5" fillId="0" borderId="1" xfId="1" applyFont="1" applyFill="1"/>
    <xf numFmtId="0" fontId="0" fillId="6" borderId="1" xfId="1" applyFont="1" applyFill="1"/>
  </cellXfs>
  <cellStyles count="3">
    <cellStyle name="Accent1" xfId="2" builtinId="29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A881-8F1F-410A-8625-8242F6BE637F}">
  <dimension ref="A3:G33"/>
  <sheetViews>
    <sheetView tabSelected="1" topLeftCell="A3" zoomScaleNormal="100" workbookViewId="0">
      <selection activeCell="A3" sqref="A3"/>
    </sheetView>
  </sheetViews>
  <sheetFormatPr defaultRowHeight="14.5"/>
  <cols>
    <col min="1" max="1" width="61.1796875" bestFit="1" customWidth="1"/>
    <col min="2" max="2" width="19.7265625" bestFit="1" customWidth="1"/>
    <col min="3" max="3" width="29.1796875" bestFit="1" customWidth="1"/>
    <col min="4" max="4" width="36.1796875" bestFit="1" customWidth="1"/>
    <col min="5" max="5" width="30.1796875" customWidth="1"/>
    <col min="6" max="6" width="31" bestFit="1" customWidth="1"/>
    <col min="7" max="7" width="19.7265625" bestFit="1" customWidth="1"/>
  </cols>
  <sheetData>
    <row r="3" spans="1:7" ht="23.5">
      <c r="A3" s="1" t="s">
        <v>413</v>
      </c>
      <c r="B3" s="2"/>
      <c r="E3" t="s">
        <v>0</v>
      </c>
    </row>
    <row r="4" spans="1:7">
      <c r="A4" s="3"/>
      <c r="B4" s="2"/>
    </row>
    <row r="5" spans="1:7" ht="23.5">
      <c r="A5" s="2"/>
      <c r="B5" s="2"/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1:7">
      <c r="A6" s="14"/>
      <c r="B6" s="14"/>
      <c r="C6" s="14"/>
      <c r="D6" s="14"/>
      <c r="E6" s="14"/>
      <c r="F6" s="14"/>
      <c r="G6" s="14"/>
    </row>
    <row r="7" spans="1:7">
      <c r="A7" s="4">
        <v>46059</v>
      </c>
      <c r="B7" s="2" t="s">
        <v>6</v>
      </c>
      <c r="C7" s="11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spans="1:7">
      <c r="A8" s="4">
        <f>+A7+1</f>
        <v>46060</v>
      </c>
      <c r="B8" s="2" t="s">
        <v>12</v>
      </c>
      <c r="C8" s="11" t="s">
        <v>14</v>
      </c>
      <c r="D8" s="15" t="s">
        <v>13</v>
      </c>
      <c r="E8" s="11" t="s">
        <v>409</v>
      </c>
      <c r="F8" s="15" t="s">
        <v>18</v>
      </c>
    </row>
    <row r="9" spans="1:7">
      <c r="A9" s="4">
        <f>+A8</f>
        <v>46060</v>
      </c>
      <c r="B9" s="2" t="s">
        <v>15</v>
      </c>
      <c r="C9" s="12" t="s">
        <v>16</v>
      </c>
      <c r="D9" s="15" t="s">
        <v>17</v>
      </c>
      <c r="E9" s="11" t="s">
        <v>408</v>
      </c>
      <c r="F9" s="15" t="s">
        <v>405</v>
      </c>
    </row>
    <row r="10" spans="1:7">
      <c r="A10" s="4">
        <f>+A9+2</f>
        <v>46062</v>
      </c>
      <c r="B10" s="2" t="s">
        <v>411</v>
      </c>
      <c r="E10" s="11" t="s">
        <v>30</v>
      </c>
    </row>
    <row r="11" spans="1:7">
      <c r="A11" s="13"/>
      <c r="B11" s="14"/>
      <c r="C11" s="14"/>
      <c r="D11" s="14"/>
      <c r="E11" s="14"/>
      <c r="F11" s="14"/>
      <c r="G11" s="14"/>
    </row>
    <row r="12" spans="1:7">
      <c r="A12" s="4">
        <f>+A7+7</f>
        <v>46066</v>
      </c>
      <c r="B12" s="2" t="s">
        <v>6</v>
      </c>
      <c r="C12" s="5" t="s">
        <v>23</v>
      </c>
      <c r="D12" s="5" t="s">
        <v>21</v>
      </c>
      <c r="E12" s="5" t="s">
        <v>22</v>
      </c>
      <c r="F12" s="5" t="s">
        <v>20</v>
      </c>
      <c r="G12" s="5" t="s">
        <v>11</v>
      </c>
    </row>
    <row r="13" spans="1:7">
      <c r="A13" s="3">
        <f>+A8+7</f>
        <v>46067</v>
      </c>
      <c r="B13" s="2" t="s">
        <v>12</v>
      </c>
      <c r="C13" s="11" t="s">
        <v>19</v>
      </c>
      <c r="D13" t="s">
        <v>24</v>
      </c>
      <c r="E13" s="12" t="s">
        <v>404</v>
      </c>
      <c r="F13" s="11" t="s">
        <v>26</v>
      </c>
    </row>
    <row r="14" spans="1:7">
      <c r="A14" s="3">
        <f>+A13</f>
        <v>46067</v>
      </c>
      <c r="B14" s="2" t="s">
        <v>27</v>
      </c>
      <c r="C14" t="s">
        <v>29</v>
      </c>
      <c r="D14" t="s">
        <v>28</v>
      </c>
      <c r="F14" s="15" t="s">
        <v>47</v>
      </c>
    </row>
    <row r="15" spans="1:7">
      <c r="A15" s="4">
        <f>+A10+7</f>
        <v>46069</v>
      </c>
      <c r="B15" s="2" t="s">
        <v>411</v>
      </c>
      <c r="E15" t="s">
        <v>46</v>
      </c>
    </row>
    <row r="16" spans="1:7">
      <c r="A16" s="13"/>
      <c r="B16" s="14"/>
      <c r="C16" s="14"/>
      <c r="D16" s="14"/>
      <c r="E16" s="14"/>
      <c r="F16" s="14"/>
      <c r="G16" s="14"/>
    </row>
    <row r="17" spans="1:7">
      <c r="A17" s="3">
        <f>+A12+7</f>
        <v>46073</v>
      </c>
      <c r="B17" s="2" t="s">
        <v>6</v>
      </c>
      <c r="C17" s="5" t="s">
        <v>31</v>
      </c>
      <c r="D17" s="5" t="s">
        <v>32</v>
      </c>
      <c r="E17" s="5" t="s">
        <v>33</v>
      </c>
      <c r="F17" s="6" t="s">
        <v>34</v>
      </c>
      <c r="G17" s="5" t="s">
        <v>11</v>
      </c>
    </row>
    <row r="18" spans="1:7">
      <c r="A18" s="4">
        <f>+A17+1</f>
        <v>46074</v>
      </c>
      <c r="B18" s="2" t="s">
        <v>35</v>
      </c>
      <c r="C18" t="s">
        <v>36</v>
      </c>
      <c r="D18" s="16" t="s">
        <v>37</v>
      </c>
      <c r="E18" t="s">
        <v>44</v>
      </c>
      <c r="F18" s="6" t="s">
        <v>34</v>
      </c>
    </row>
    <row r="19" spans="1:7">
      <c r="A19" s="4">
        <f>+A14+7</f>
        <v>46074</v>
      </c>
      <c r="B19" s="2" t="s">
        <v>27</v>
      </c>
      <c r="C19" t="s">
        <v>38</v>
      </c>
      <c r="D19" s="15" t="s">
        <v>40</v>
      </c>
      <c r="F19" s="6" t="s">
        <v>34</v>
      </c>
    </row>
    <row r="21" spans="1:7">
      <c r="A21" s="13"/>
      <c r="B21" s="14"/>
      <c r="C21" s="14"/>
      <c r="D21" s="14"/>
      <c r="E21" s="14"/>
      <c r="F21" s="14"/>
      <c r="G21" s="14"/>
    </row>
    <row r="22" spans="1:7">
      <c r="A22" s="4">
        <f>+A17+7</f>
        <v>46080</v>
      </c>
      <c r="B22" s="2" t="s">
        <v>6</v>
      </c>
      <c r="C22" s="15" t="s">
        <v>49</v>
      </c>
      <c r="D22" s="17" t="s">
        <v>42</v>
      </c>
      <c r="E22" s="5" t="s">
        <v>406</v>
      </c>
      <c r="F22" s="5" t="s">
        <v>43</v>
      </c>
      <c r="G22" s="5" t="s">
        <v>11</v>
      </c>
    </row>
    <row r="23" spans="1:7">
      <c r="A23" s="4">
        <f>+A18+7</f>
        <v>46081</v>
      </c>
      <c r="B23" s="2" t="s">
        <v>12</v>
      </c>
      <c r="C23" t="s">
        <v>407</v>
      </c>
      <c r="D23" t="s">
        <v>410</v>
      </c>
      <c r="E23" t="s">
        <v>48</v>
      </c>
      <c r="F23" s="15" t="s">
        <v>45</v>
      </c>
    </row>
    <row r="24" spans="1:7">
      <c r="A24" s="4">
        <f>+A19+7</f>
        <v>46081</v>
      </c>
      <c r="B24" s="2" t="s">
        <v>15</v>
      </c>
      <c r="C24" t="s">
        <v>41</v>
      </c>
      <c r="D24" s="15" t="s">
        <v>25</v>
      </c>
      <c r="F24" s="15" t="s">
        <v>39</v>
      </c>
    </row>
    <row r="25" spans="1:7">
      <c r="A25" s="14"/>
      <c r="B25" s="14"/>
      <c r="C25" s="14"/>
      <c r="D25" s="14"/>
      <c r="E25" s="14"/>
      <c r="F25" s="14"/>
      <c r="G25" s="14"/>
    </row>
    <row r="27" spans="1:7" ht="18.5">
      <c r="B27" s="7" t="s">
        <v>50</v>
      </c>
      <c r="C27" s="8">
        <v>12</v>
      </c>
      <c r="D27" s="8">
        <v>12</v>
      </c>
      <c r="E27" s="8">
        <v>11</v>
      </c>
      <c r="F27" s="8">
        <v>9</v>
      </c>
      <c r="G27" s="8">
        <f>SUM(C27:F27)</f>
        <v>44</v>
      </c>
    </row>
    <row r="32" spans="1:7">
      <c r="A32" s="9" t="s">
        <v>51</v>
      </c>
    </row>
    <row r="33" spans="1:1">
      <c r="A33" s="11" t="s">
        <v>412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E53B-6C1C-45E0-9622-11120D108976}">
  <dimension ref="A1:E198"/>
  <sheetViews>
    <sheetView workbookViewId="0">
      <selection activeCell="E1" sqref="E1"/>
    </sheetView>
  </sheetViews>
  <sheetFormatPr defaultRowHeight="14.5"/>
  <cols>
    <col min="1" max="1" width="27.453125" bestFit="1" customWidth="1"/>
    <col min="2" max="2" width="15.81640625" bestFit="1" customWidth="1"/>
    <col min="3" max="3" width="25.453125" bestFit="1" customWidth="1"/>
    <col min="4" max="4" width="14.54296875" bestFit="1" customWidth="1"/>
    <col min="5" max="5" width="15.453125" bestFit="1" customWidth="1"/>
  </cols>
  <sheetData>
    <row r="1" spans="1:5" ht="18.5">
      <c r="A1" s="10" t="s">
        <v>52</v>
      </c>
      <c r="B1" s="10" t="s">
        <v>53</v>
      </c>
      <c r="C1" s="10" t="s">
        <v>54</v>
      </c>
      <c r="D1" s="10" t="s">
        <v>55</v>
      </c>
      <c r="E1" s="10" t="s">
        <v>56</v>
      </c>
    </row>
    <row r="2" spans="1:5">
      <c r="A2" t="s">
        <v>57</v>
      </c>
      <c r="B2">
        <v>50</v>
      </c>
      <c r="C2" t="s">
        <v>58</v>
      </c>
      <c r="D2" t="s">
        <v>59</v>
      </c>
      <c r="E2" t="s">
        <v>60</v>
      </c>
    </row>
    <row r="3" spans="1:5">
      <c r="A3" t="s">
        <v>57</v>
      </c>
      <c r="B3">
        <v>50</v>
      </c>
      <c r="C3" t="s">
        <v>61</v>
      </c>
      <c r="D3" t="s">
        <v>62</v>
      </c>
      <c r="E3" t="s">
        <v>60</v>
      </c>
    </row>
    <row r="4" spans="1:5">
      <c r="A4" t="s">
        <v>57</v>
      </c>
      <c r="B4">
        <v>50</v>
      </c>
      <c r="C4" t="s">
        <v>63</v>
      </c>
      <c r="D4" t="s">
        <v>64</v>
      </c>
      <c r="E4" t="s">
        <v>60</v>
      </c>
    </row>
    <row r="5" spans="1:5">
      <c r="A5" t="s">
        <v>57</v>
      </c>
      <c r="B5">
        <v>50</v>
      </c>
      <c r="C5" t="s">
        <v>65</v>
      </c>
      <c r="D5" t="s">
        <v>66</v>
      </c>
      <c r="E5" t="s">
        <v>60</v>
      </c>
    </row>
    <row r="7" spans="1:5">
      <c r="A7" t="s">
        <v>67</v>
      </c>
      <c r="B7">
        <v>51</v>
      </c>
      <c r="C7" t="s">
        <v>68</v>
      </c>
      <c r="D7" t="s">
        <v>69</v>
      </c>
      <c r="E7" t="s">
        <v>60</v>
      </c>
    </row>
    <row r="8" spans="1:5">
      <c r="A8" t="s">
        <v>67</v>
      </c>
      <c r="B8">
        <v>51</v>
      </c>
      <c r="C8" t="s">
        <v>70</v>
      </c>
      <c r="D8" t="s">
        <v>71</v>
      </c>
      <c r="E8" t="s">
        <v>60</v>
      </c>
    </row>
    <row r="10" spans="1:5">
      <c r="A10" t="s">
        <v>72</v>
      </c>
      <c r="B10">
        <v>52</v>
      </c>
      <c r="C10" t="s">
        <v>73</v>
      </c>
      <c r="D10" t="s">
        <v>74</v>
      </c>
      <c r="E10" t="s">
        <v>60</v>
      </c>
    </row>
    <row r="11" spans="1:5">
      <c r="A11" t="s">
        <v>72</v>
      </c>
      <c r="B11">
        <v>52</v>
      </c>
      <c r="C11" t="s">
        <v>75</v>
      </c>
      <c r="D11" t="s">
        <v>76</v>
      </c>
      <c r="E11" t="s">
        <v>60</v>
      </c>
    </row>
    <row r="12" spans="1:5">
      <c r="A12" t="s">
        <v>72</v>
      </c>
      <c r="B12">
        <v>52</v>
      </c>
      <c r="C12" t="s">
        <v>77</v>
      </c>
      <c r="D12" t="s">
        <v>78</v>
      </c>
    </row>
    <row r="13" spans="1:5">
      <c r="A13" t="s">
        <v>72</v>
      </c>
      <c r="B13">
        <v>52</v>
      </c>
      <c r="C13" t="s">
        <v>79</v>
      </c>
      <c r="D13" t="s">
        <v>80</v>
      </c>
      <c r="E13" t="s">
        <v>60</v>
      </c>
    </row>
    <row r="15" spans="1:5">
      <c r="A15" t="s">
        <v>81</v>
      </c>
      <c r="B15">
        <v>53</v>
      </c>
      <c r="C15" t="s">
        <v>82</v>
      </c>
      <c r="D15" t="s">
        <v>83</v>
      </c>
      <c r="E15" t="s">
        <v>60</v>
      </c>
    </row>
    <row r="16" spans="1:5">
      <c r="A16" t="s">
        <v>81</v>
      </c>
      <c r="B16">
        <v>53</v>
      </c>
      <c r="C16" t="s">
        <v>84</v>
      </c>
      <c r="D16" t="s">
        <v>85</v>
      </c>
      <c r="E16" t="s">
        <v>60</v>
      </c>
    </row>
    <row r="17" spans="1:5">
      <c r="A17" t="s">
        <v>81</v>
      </c>
      <c r="B17">
        <v>53</v>
      </c>
      <c r="C17" t="s">
        <v>86</v>
      </c>
      <c r="D17" t="s">
        <v>87</v>
      </c>
      <c r="E17" t="s">
        <v>60</v>
      </c>
    </row>
    <row r="19" spans="1:5">
      <c r="A19" t="s">
        <v>88</v>
      </c>
      <c r="B19">
        <v>54</v>
      </c>
      <c r="C19" t="s">
        <v>89</v>
      </c>
      <c r="D19" t="s">
        <v>90</v>
      </c>
      <c r="E19" t="s">
        <v>60</v>
      </c>
    </row>
    <row r="20" spans="1:5">
      <c r="A20" t="s">
        <v>88</v>
      </c>
      <c r="B20">
        <v>54</v>
      </c>
      <c r="C20" t="s">
        <v>91</v>
      </c>
      <c r="D20" t="s">
        <v>92</v>
      </c>
      <c r="E20" t="s">
        <v>60</v>
      </c>
    </row>
    <row r="21" spans="1:5">
      <c r="A21" t="s">
        <v>88</v>
      </c>
      <c r="B21">
        <v>54</v>
      </c>
      <c r="C21" t="s">
        <v>93</v>
      </c>
      <c r="D21" t="s">
        <v>94</v>
      </c>
      <c r="E21" t="s">
        <v>60</v>
      </c>
    </row>
    <row r="23" spans="1:5">
      <c r="A23" t="s">
        <v>95</v>
      </c>
      <c r="B23">
        <v>55</v>
      </c>
      <c r="C23" t="s">
        <v>96</v>
      </c>
      <c r="D23" t="s">
        <v>97</v>
      </c>
      <c r="E23" t="s">
        <v>60</v>
      </c>
    </row>
    <row r="24" spans="1:5">
      <c r="A24" t="s">
        <v>95</v>
      </c>
      <c r="B24">
        <v>55</v>
      </c>
      <c r="C24" t="s">
        <v>98</v>
      </c>
      <c r="D24" t="s">
        <v>99</v>
      </c>
      <c r="E24" t="s">
        <v>60</v>
      </c>
    </row>
    <row r="26" spans="1:5">
      <c r="A26" t="s">
        <v>100</v>
      </c>
      <c r="B26">
        <v>56</v>
      </c>
      <c r="C26" t="s">
        <v>101</v>
      </c>
      <c r="D26" t="s">
        <v>102</v>
      </c>
    </row>
    <row r="27" spans="1:5">
      <c r="A27" t="s">
        <v>100</v>
      </c>
      <c r="B27">
        <v>56</v>
      </c>
      <c r="C27" t="s">
        <v>103</v>
      </c>
      <c r="D27" t="s">
        <v>104</v>
      </c>
    </row>
    <row r="29" spans="1:5">
      <c r="A29" t="s">
        <v>105</v>
      </c>
      <c r="B29">
        <v>57</v>
      </c>
      <c r="C29" t="s">
        <v>106</v>
      </c>
      <c r="D29" t="s">
        <v>107</v>
      </c>
    </row>
    <row r="30" spans="1:5">
      <c r="A30" t="s">
        <v>105</v>
      </c>
      <c r="B30">
        <v>57</v>
      </c>
      <c r="C30" t="s">
        <v>108</v>
      </c>
      <c r="D30" t="s">
        <v>109</v>
      </c>
    </row>
    <row r="31" spans="1:5">
      <c r="A31" t="s">
        <v>105</v>
      </c>
      <c r="B31">
        <v>57</v>
      </c>
      <c r="C31" t="s">
        <v>110</v>
      </c>
      <c r="D31" t="s">
        <v>111</v>
      </c>
    </row>
    <row r="32" spans="1:5">
      <c r="A32" t="s">
        <v>105</v>
      </c>
      <c r="B32">
        <v>57</v>
      </c>
      <c r="C32" t="s">
        <v>112</v>
      </c>
      <c r="D32" t="s">
        <v>113</v>
      </c>
    </row>
    <row r="34" spans="1:5">
      <c r="A34" t="s">
        <v>114</v>
      </c>
      <c r="B34">
        <v>58</v>
      </c>
      <c r="C34" t="s">
        <v>115</v>
      </c>
      <c r="D34" t="s">
        <v>116</v>
      </c>
    </row>
    <row r="35" spans="1:5">
      <c r="A35" t="s">
        <v>114</v>
      </c>
      <c r="B35">
        <v>58</v>
      </c>
      <c r="C35" t="s">
        <v>117</v>
      </c>
      <c r="D35" t="s">
        <v>118</v>
      </c>
    </row>
    <row r="36" spans="1:5">
      <c r="A36" t="s">
        <v>114</v>
      </c>
      <c r="B36">
        <v>58</v>
      </c>
      <c r="C36" t="s">
        <v>119</v>
      </c>
      <c r="D36" t="s">
        <v>120</v>
      </c>
    </row>
    <row r="38" spans="1:5">
      <c r="A38" t="s">
        <v>121</v>
      </c>
      <c r="B38">
        <v>59</v>
      </c>
      <c r="C38" t="s">
        <v>122</v>
      </c>
      <c r="D38" t="s">
        <v>123</v>
      </c>
    </row>
    <row r="39" spans="1:5">
      <c r="A39" t="s">
        <v>121</v>
      </c>
      <c r="B39">
        <v>59</v>
      </c>
      <c r="C39" t="s">
        <v>124</v>
      </c>
      <c r="D39" t="s">
        <v>125</v>
      </c>
    </row>
    <row r="40" spans="1:5">
      <c r="A40" t="s">
        <v>121</v>
      </c>
      <c r="B40">
        <v>59</v>
      </c>
      <c r="C40" t="s">
        <v>126</v>
      </c>
      <c r="D40" t="s">
        <v>127</v>
      </c>
    </row>
    <row r="41" spans="1:5">
      <c r="A41" t="s">
        <v>121</v>
      </c>
      <c r="B41">
        <v>59</v>
      </c>
      <c r="C41" t="s">
        <v>128</v>
      </c>
      <c r="D41" t="s">
        <v>129</v>
      </c>
    </row>
    <row r="43" spans="1:5">
      <c r="A43" t="s">
        <v>130</v>
      </c>
      <c r="B43">
        <v>60</v>
      </c>
      <c r="C43" t="s">
        <v>131</v>
      </c>
      <c r="D43" t="s">
        <v>132</v>
      </c>
    </row>
    <row r="44" spans="1:5">
      <c r="A44" t="s">
        <v>130</v>
      </c>
      <c r="B44">
        <v>60</v>
      </c>
      <c r="C44" t="s">
        <v>133</v>
      </c>
      <c r="D44" t="s">
        <v>134</v>
      </c>
    </row>
    <row r="45" spans="1:5">
      <c r="A45" t="s">
        <v>130</v>
      </c>
      <c r="B45">
        <v>60</v>
      </c>
      <c r="C45" t="s">
        <v>135</v>
      </c>
      <c r="D45" t="s">
        <v>136</v>
      </c>
    </row>
    <row r="47" spans="1:5">
      <c r="A47" t="s">
        <v>137</v>
      </c>
      <c r="B47">
        <v>61</v>
      </c>
      <c r="C47" t="s">
        <v>138</v>
      </c>
      <c r="D47" t="s">
        <v>139</v>
      </c>
      <c r="E47" t="s">
        <v>60</v>
      </c>
    </row>
    <row r="48" spans="1:5">
      <c r="A48" t="s">
        <v>137</v>
      </c>
      <c r="B48">
        <v>61</v>
      </c>
      <c r="C48" t="s">
        <v>140</v>
      </c>
      <c r="D48" t="s">
        <v>141</v>
      </c>
      <c r="E48" t="s">
        <v>60</v>
      </c>
    </row>
    <row r="49" spans="1:5">
      <c r="A49" t="s">
        <v>137</v>
      </c>
      <c r="B49">
        <v>61</v>
      </c>
      <c r="C49" t="s">
        <v>142</v>
      </c>
      <c r="D49" t="s">
        <v>143</v>
      </c>
      <c r="E49" t="s">
        <v>60</v>
      </c>
    </row>
    <row r="50" spans="1:5">
      <c r="A50" t="s">
        <v>137</v>
      </c>
      <c r="B50">
        <v>61</v>
      </c>
      <c r="C50" t="s">
        <v>144</v>
      </c>
      <c r="D50" t="s">
        <v>145</v>
      </c>
      <c r="E50" t="s">
        <v>60</v>
      </c>
    </row>
    <row r="52" spans="1:5">
      <c r="A52" t="s">
        <v>146</v>
      </c>
      <c r="B52">
        <v>62</v>
      </c>
      <c r="C52" t="s">
        <v>147</v>
      </c>
      <c r="D52" t="s">
        <v>148</v>
      </c>
    </row>
    <row r="53" spans="1:5">
      <c r="A53" t="s">
        <v>146</v>
      </c>
      <c r="B53">
        <v>62</v>
      </c>
      <c r="C53" t="s">
        <v>149</v>
      </c>
      <c r="D53" t="s">
        <v>150</v>
      </c>
    </row>
    <row r="54" spans="1:5">
      <c r="A54" t="s">
        <v>146</v>
      </c>
      <c r="B54">
        <v>62</v>
      </c>
      <c r="C54" t="s">
        <v>151</v>
      </c>
      <c r="D54" t="s">
        <v>152</v>
      </c>
    </row>
    <row r="56" spans="1:5">
      <c r="A56" t="s">
        <v>153</v>
      </c>
      <c r="B56">
        <v>63</v>
      </c>
      <c r="C56" t="s">
        <v>154</v>
      </c>
      <c r="D56" t="s">
        <v>155</v>
      </c>
    </row>
    <row r="57" spans="1:5">
      <c r="A57" t="s">
        <v>153</v>
      </c>
      <c r="B57">
        <v>63</v>
      </c>
      <c r="C57" t="s">
        <v>156</v>
      </c>
      <c r="D57" t="s">
        <v>157</v>
      </c>
    </row>
    <row r="58" spans="1:5">
      <c r="A58" t="s">
        <v>153</v>
      </c>
      <c r="B58">
        <v>63</v>
      </c>
      <c r="C58" t="s">
        <v>158</v>
      </c>
      <c r="D58" t="s">
        <v>159</v>
      </c>
    </row>
    <row r="60" spans="1:5">
      <c r="A60" t="s">
        <v>160</v>
      </c>
      <c r="B60">
        <v>64</v>
      </c>
      <c r="C60" t="s">
        <v>161</v>
      </c>
      <c r="D60" t="s">
        <v>162</v>
      </c>
    </row>
    <row r="61" spans="1:5">
      <c r="A61" t="s">
        <v>160</v>
      </c>
      <c r="B61">
        <v>64</v>
      </c>
      <c r="C61" t="s">
        <v>163</v>
      </c>
      <c r="D61" t="s">
        <v>164</v>
      </c>
    </row>
    <row r="62" spans="1:5">
      <c r="A62" t="s">
        <v>160</v>
      </c>
      <c r="B62">
        <v>64</v>
      </c>
      <c r="C62" t="s">
        <v>165</v>
      </c>
      <c r="D62" t="s">
        <v>166</v>
      </c>
    </row>
    <row r="63" spans="1:5">
      <c r="A63" t="s">
        <v>160</v>
      </c>
      <c r="B63">
        <v>64</v>
      </c>
      <c r="C63" t="s">
        <v>167</v>
      </c>
      <c r="D63" t="s">
        <v>168</v>
      </c>
    </row>
    <row r="65" spans="1:5">
      <c r="A65" t="s">
        <v>169</v>
      </c>
      <c r="B65">
        <v>65</v>
      </c>
      <c r="C65" t="s">
        <v>170</v>
      </c>
      <c r="D65" t="s">
        <v>171</v>
      </c>
    </row>
    <row r="66" spans="1:5">
      <c r="A66" t="s">
        <v>169</v>
      </c>
      <c r="B66">
        <v>65</v>
      </c>
      <c r="C66" t="s">
        <v>172</v>
      </c>
      <c r="D66" t="s">
        <v>173</v>
      </c>
    </row>
    <row r="67" spans="1:5">
      <c r="A67" t="s">
        <v>169</v>
      </c>
      <c r="B67">
        <v>65</v>
      </c>
      <c r="C67" t="s">
        <v>174</v>
      </c>
      <c r="D67" t="s">
        <v>175</v>
      </c>
    </row>
    <row r="68" spans="1:5">
      <c r="A68" t="s">
        <v>169</v>
      </c>
      <c r="B68">
        <v>65</v>
      </c>
      <c r="C68" t="s">
        <v>176</v>
      </c>
      <c r="D68" t="s">
        <v>177</v>
      </c>
    </row>
    <row r="70" spans="1:5">
      <c r="A70" t="s">
        <v>178</v>
      </c>
      <c r="B70">
        <v>66</v>
      </c>
      <c r="C70" t="s">
        <v>179</v>
      </c>
      <c r="D70" t="s">
        <v>180</v>
      </c>
    </row>
    <row r="71" spans="1:5">
      <c r="A71" t="s">
        <v>178</v>
      </c>
      <c r="B71">
        <v>66</v>
      </c>
      <c r="C71" t="s">
        <v>181</v>
      </c>
      <c r="D71" t="s">
        <v>182</v>
      </c>
    </row>
    <row r="72" spans="1:5">
      <c r="A72" t="s">
        <v>178</v>
      </c>
      <c r="B72">
        <v>66</v>
      </c>
      <c r="C72" t="s">
        <v>183</v>
      </c>
      <c r="D72" t="s">
        <v>184</v>
      </c>
    </row>
    <row r="74" spans="1:5">
      <c r="A74" t="s">
        <v>185</v>
      </c>
      <c r="B74">
        <v>67</v>
      </c>
      <c r="C74" t="s">
        <v>186</v>
      </c>
      <c r="D74" t="s">
        <v>187</v>
      </c>
    </row>
    <row r="75" spans="1:5">
      <c r="A75" t="s">
        <v>185</v>
      </c>
      <c r="B75">
        <v>67</v>
      </c>
      <c r="C75" t="s">
        <v>188</v>
      </c>
      <c r="D75" t="s">
        <v>189</v>
      </c>
    </row>
    <row r="76" spans="1:5">
      <c r="A76" t="s">
        <v>185</v>
      </c>
      <c r="B76">
        <v>67</v>
      </c>
      <c r="C76" t="s">
        <v>190</v>
      </c>
      <c r="D76" t="s">
        <v>191</v>
      </c>
    </row>
    <row r="77" spans="1:5">
      <c r="A77" t="s">
        <v>185</v>
      </c>
      <c r="B77">
        <v>67</v>
      </c>
      <c r="C77" t="s">
        <v>192</v>
      </c>
      <c r="D77" t="s">
        <v>193</v>
      </c>
    </row>
    <row r="79" spans="1:5">
      <c r="A79" t="s">
        <v>194</v>
      </c>
      <c r="B79">
        <v>68</v>
      </c>
      <c r="C79" t="s">
        <v>195</v>
      </c>
      <c r="D79" t="s">
        <v>196</v>
      </c>
      <c r="E79" t="s">
        <v>60</v>
      </c>
    </row>
    <row r="80" spans="1:5">
      <c r="A80" t="s">
        <v>194</v>
      </c>
      <c r="B80">
        <v>68</v>
      </c>
      <c r="C80" t="s">
        <v>197</v>
      </c>
      <c r="D80" t="s">
        <v>198</v>
      </c>
      <c r="E80" t="s">
        <v>60</v>
      </c>
    </row>
    <row r="82" spans="1:5">
      <c r="A82" t="s">
        <v>199</v>
      </c>
      <c r="B82">
        <v>69</v>
      </c>
      <c r="C82" t="s">
        <v>200</v>
      </c>
      <c r="D82" t="s">
        <v>201</v>
      </c>
      <c r="E82" t="s">
        <v>60</v>
      </c>
    </row>
    <row r="83" spans="1:5">
      <c r="A83" t="s">
        <v>199</v>
      </c>
      <c r="B83">
        <v>69</v>
      </c>
      <c r="C83" t="s">
        <v>202</v>
      </c>
      <c r="D83" t="s">
        <v>203</v>
      </c>
      <c r="E83" t="s">
        <v>60</v>
      </c>
    </row>
    <row r="84" spans="1:5">
      <c r="A84" t="s">
        <v>199</v>
      </c>
      <c r="B84">
        <v>69</v>
      </c>
      <c r="C84" t="s">
        <v>204</v>
      </c>
      <c r="D84" t="s">
        <v>205</v>
      </c>
      <c r="E84" t="s">
        <v>60</v>
      </c>
    </row>
    <row r="85" spans="1:5">
      <c r="A85" t="s">
        <v>199</v>
      </c>
      <c r="B85">
        <v>69</v>
      </c>
      <c r="C85" t="s">
        <v>206</v>
      </c>
      <c r="D85" t="s">
        <v>207</v>
      </c>
      <c r="E85" t="s">
        <v>60</v>
      </c>
    </row>
    <row r="86" spans="1:5">
      <c r="A86" t="s">
        <v>199</v>
      </c>
      <c r="B86">
        <v>69</v>
      </c>
      <c r="C86" t="s">
        <v>208</v>
      </c>
      <c r="D86" t="s">
        <v>209</v>
      </c>
      <c r="E86" t="s">
        <v>60</v>
      </c>
    </row>
    <row r="88" spans="1:5">
      <c r="A88" t="s">
        <v>210</v>
      </c>
      <c r="B88">
        <v>70</v>
      </c>
      <c r="C88" t="s">
        <v>211</v>
      </c>
      <c r="D88" t="s">
        <v>212</v>
      </c>
    </row>
    <row r="89" spans="1:5">
      <c r="A89" t="s">
        <v>210</v>
      </c>
      <c r="B89">
        <v>70</v>
      </c>
      <c r="C89" t="s">
        <v>213</v>
      </c>
      <c r="D89" t="s">
        <v>214</v>
      </c>
    </row>
    <row r="91" spans="1:5">
      <c r="A91" t="s">
        <v>215</v>
      </c>
      <c r="B91">
        <v>71</v>
      </c>
      <c r="C91" t="s">
        <v>215</v>
      </c>
      <c r="D91" t="s">
        <v>216</v>
      </c>
    </row>
    <row r="93" spans="1:5">
      <c r="A93" t="s">
        <v>217</v>
      </c>
      <c r="B93">
        <v>72</v>
      </c>
      <c r="C93" t="s">
        <v>217</v>
      </c>
      <c r="D93" t="s">
        <v>218</v>
      </c>
      <c r="E93" t="s">
        <v>60</v>
      </c>
    </row>
    <row r="95" spans="1:5">
      <c r="A95" t="s">
        <v>219</v>
      </c>
      <c r="B95">
        <v>73</v>
      </c>
      <c r="C95" t="s">
        <v>220</v>
      </c>
      <c r="D95" t="s">
        <v>221</v>
      </c>
      <c r="E95" t="s">
        <v>60</v>
      </c>
    </row>
    <row r="96" spans="1:5">
      <c r="A96" t="s">
        <v>219</v>
      </c>
      <c r="B96">
        <v>73</v>
      </c>
      <c r="C96" t="s">
        <v>222</v>
      </c>
      <c r="D96" t="s">
        <v>223</v>
      </c>
      <c r="E96" t="s">
        <v>60</v>
      </c>
    </row>
    <row r="97" spans="1:5">
      <c r="A97" t="s">
        <v>219</v>
      </c>
      <c r="B97">
        <v>73</v>
      </c>
      <c r="C97" t="s">
        <v>224</v>
      </c>
      <c r="D97" t="s">
        <v>225</v>
      </c>
      <c r="E97" t="s">
        <v>60</v>
      </c>
    </row>
    <row r="98" spans="1:5">
      <c r="A98" t="s">
        <v>219</v>
      </c>
      <c r="B98">
        <v>73</v>
      </c>
      <c r="C98" t="s">
        <v>226</v>
      </c>
      <c r="D98" t="s">
        <v>227</v>
      </c>
      <c r="E98" t="s">
        <v>60</v>
      </c>
    </row>
    <row r="99" spans="1:5">
      <c r="A99" t="s">
        <v>219</v>
      </c>
      <c r="B99">
        <v>73</v>
      </c>
      <c r="C99" t="s">
        <v>228</v>
      </c>
      <c r="D99" t="s">
        <v>229</v>
      </c>
      <c r="E99" t="s">
        <v>60</v>
      </c>
    </row>
    <row r="100" spans="1:5">
      <c r="A100" t="s">
        <v>219</v>
      </c>
      <c r="B100">
        <v>73</v>
      </c>
      <c r="C100" t="s">
        <v>230</v>
      </c>
      <c r="D100" t="s">
        <v>231</v>
      </c>
      <c r="E100" t="s">
        <v>60</v>
      </c>
    </row>
    <row r="101" spans="1:5">
      <c r="A101" t="s">
        <v>219</v>
      </c>
      <c r="B101">
        <v>73</v>
      </c>
      <c r="C101" t="s">
        <v>232</v>
      </c>
      <c r="D101" t="s">
        <v>233</v>
      </c>
      <c r="E101" t="s">
        <v>60</v>
      </c>
    </row>
    <row r="102" spans="1:5">
      <c r="A102" t="s">
        <v>219</v>
      </c>
      <c r="B102">
        <v>73</v>
      </c>
      <c r="C102" t="s">
        <v>234</v>
      </c>
      <c r="D102" t="s">
        <v>235</v>
      </c>
      <c r="E102" t="s">
        <v>60</v>
      </c>
    </row>
    <row r="104" spans="1:5">
      <c r="A104" t="s">
        <v>236</v>
      </c>
      <c r="B104">
        <v>74</v>
      </c>
      <c r="C104" t="s">
        <v>219</v>
      </c>
      <c r="D104" t="s">
        <v>237</v>
      </c>
      <c r="E104" t="s">
        <v>60</v>
      </c>
    </row>
    <row r="105" spans="1:5">
      <c r="A105" t="s">
        <v>236</v>
      </c>
      <c r="B105">
        <v>74</v>
      </c>
      <c r="C105" t="s">
        <v>238</v>
      </c>
      <c r="D105" t="s">
        <v>239</v>
      </c>
      <c r="E105" t="s">
        <v>60</v>
      </c>
    </row>
    <row r="107" spans="1:5">
      <c r="A107" t="s">
        <v>240</v>
      </c>
      <c r="B107">
        <v>75</v>
      </c>
      <c r="C107" t="s">
        <v>241</v>
      </c>
      <c r="D107" t="s">
        <v>242</v>
      </c>
    </row>
    <row r="108" spans="1:5">
      <c r="A108" t="s">
        <v>240</v>
      </c>
      <c r="B108">
        <v>75</v>
      </c>
      <c r="C108" t="s">
        <v>243</v>
      </c>
      <c r="D108" t="s">
        <v>244</v>
      </c>
    </row>
    <row r="109" spans="1:5">
      <c r="A109" t="s">
        <v>240</v>
      </c>
      <c r="B109">
        <v>75</v>
      </c>
      <c r="C109" t="s">
        <v>245</v>
      </c>
      <c r="D109" t="s">
        <v>246</v>
      </c>
    </row>
    <row r="111" spans="1:5">
      <c r="A111" t="s">
        <v>247</v>
      </c>
      <c r="B111">
        <v>76</v>
      </c>
      <c r="C111" t="s">
        <v>248</v>
      </c>
      <c r="D111" t="s">
        <v>249</v>
      </c>
    </row>
    <row r="112" spans="1:5">
      <c r="A112" t="s">
        <v>247</v>
      </c>
      <c r="B112">
        <v>76</v>
      </c>
      <c r="C112" t="s">
        <v>250</v>
      </c>
      <c r="D112" t="s">
        <v>251</v>
      </c>
    </row>
    <row r="114" spans="1:4">
      <c r="A114" t="s">
        <v>252</v>
      </c>
      <c r="B114">
        <v>77</v>
      </c>
      <c r="C114" t="s">
        <v>253</v>
      </c>
      <c r="D114" t="s">
        <v>254</v>
      </c>
    </row>
    <row r="115" spans="1:4">
      <c r="A115" t="s">
        <v>252</v>
      </c>
      <c r="B115">
        <v>77</v>
      </c>
      <c r="C115" t="s">
        <v>255</v>
      </c>
      <c r="D115" t="s">
        <v>256</v>
      </c>
    </row>
    <row r="116" spans="1:4">
      <c r="A116" t="s">
        <v>252</v>
      </c>
      <c r="B116">
        <v>77</v>
      </c>
      <c r="C116" t="s">
        <v>257</v>
      </c>
      <c r="D116" t="s">
        <v>258</v>
      </c>
    </row>
    <row r="117" spans="1:4">
      <c r="A117" t="s">
        <v>252</v>
      </c>
      <c r="B117">
        <v>77</v>
      </c>
      <c r="C117" t="s">
        <v>259</v>
      </c>
      <c r="D117" t="s">
        <v>260</v>
      </c>
    </row>
    <row r="118" spans="1:4">
      <c r="A118" t="s">
        <v>252</v>
      </c>
      <c r="B118">
        <v>77</v>
      </c>
      <c r="C118" t="s">
        <v>261</v>
      </c>
      <c r="D118" t="s">
        <v>262</v>
      </c>
    </row>
    <row r="119" spans="1:4">
      <c r="A119" t="s">
        <v>252</v>
      </c>
      <c r="B119">
        <v>77</v>
      </c>
      <c r="C119" t="s">
        <v>263</v>
      </c>
      <c r="D119" t="s">
        <v>264</v>
      </c>
    </row>
    <row r="120" spans="1:4">
      <c r="A120" t="s">
        <v>252</v>
      </c>
      <c r="B120">
        <v>77</v>
      </c>
      <c r="C120" t="s">
        <v>265</v>
      </c>
      <c r="D120" t="s">
        <v>266</v>
      </c>
    </row>
    <row r="122" spans="1:4">
      <c r="A122" t="s">
        <v>267</v>
      </c>
      <c r="B122">
        <v>78</v>
      </c>
      <c r="C122" t="s">
        <v>268</v>
      </c>
      <c r="D122" t="s">
        <v>269</v>
      </c>
    </row>
    <row r="123" spans="1:4">
      <c r="A123" t="s">
        <v>267</v>
      </c>
      <c r="B123">
        <v>78</v>
      </c>
      <c r="C123" t="s">
        <v>270</v>
      </c>
      <c r="D123" t="s">
        <v>271</v>
      </c>
    </row>
    <row r="124" spans="1:4">
      <c r="A124" t="s">
        <v>267</v>
      </c>
      <c r="B124">
        <v>78</v>
      </c>
      <c r="C124" t="s">
        <v>272</v>
      </c>
      <c r="D124" t="s">
        <v>273</v>
      </c>
    </row>
    <row r="125" spans="1:4">
      <c r="A125" t="s">
        <v>267</v>
      </c>
      <c r="B125">
        <v>78</v>
      </c>
      <c r="C125" t="s">
        <v>274</v>
      </c>
      <c r="D125" t="s">
        <v>275</v>
      </c>
    </row>
    <row r="127" spans="1:4">
      <c r="A127" t="s">
        <v>276</v>
      </c>
      <c r="B127">
        <v>79</v>
      </c>
      <c r="C127" t="s">
        <v>277</v>
      </c>
      <c r="D127" t="s">
        <v>278</v>
      </c>
    </row>
    <row r="128" spans="1:4">
      <c r="A128" t="s">
        <v>276</v>
      </c>
      <c r="B128">
        <v>79</v>
      </c>
      <c r="C128" t="s">
        <v>279</v>
      </c>
      <c r="D128" t="s">
        <v>280</v>
      </c>
    </row>
    <row r="130" spans="1:4">
      <c r="A130" t="s">
        <v>281</v>
      </c>
      <c r="B130">
        <v>80</v>
      </c>
      <c r="C130" t="s">
        <v>282</v>
      </c>
      <c r="D130" t="s">
        <v>283</v>
      </c>
    </row>
    <row r="131" spans="1:4">
      <c r="A131" t="s">
        <v>281</v>
      </c>
      <c r="B131">
        <v>80</v>
      </c>
      <c r="C131" t="s">
        <v>284</v>
      </c>
      <c r="D131" t="s">
        <v>285</v>
      </c>
    </row>
    <row r="133" spans="1:4">
      <c r="A133" t="s">
        <v>286</v>
      </c>
      <c r="B133">
        <v>81</v>
      </c>
      <c r="C133" t="s">
        <v>287</v>
      </c>
      <c r="D133" t="s">
        <v>288</v>
      </c>
    </row>
    <row r="134" spans="1:4">
      <c r="A134" t="s">
        <v>286</v>
      </c>
      <c r="B134">
        <v>81</v>
      </c>
      <c r="C134" t="s">
        <v>289</v>
      </c>
      <c r="D134" t="s">
        <v>290</v>
      </c>
    </row>
    <row r="136" spans="1:4">
      <c r="A136" t="s">
        <v>291</v>
      </c>
      <c r="B136">
        <v>82</v>
      </c>
      <c r="C136" t="s">
        <v>291</v>
      </c>
      <c r="D136" t="s">
        <v>292</v>
      </c>
    </row>
    <row r="137" spans="1:4">
      <c r="A137" t="s">
        <v>291</v>
      </c>
      <c r="B137">
        <v>82</v>
      </c>
      <c r="C137" t="s">
        <v>293</v>
      </c>
      <c r="D137" t="s">
        <v>294</v>
      </c>
    </row>
    <row r="138" spans="1:4">
      <c r="A138" t="s">
        <v>291</v>
      </c>
      <c r="B138">
        <v>82</v>
      </c>
      <c r="C138" t="s">
        <v>295</v>
      </c>
      <c r="D138" t="s">
        <v>296</v>
      </c>
    </row>
    <row r="139" spans="1:4">
      <c r="A139" t="s">
        <v>291</v>
      </c>
      <c r="B139">
        <v>82</v>
      </c>
      <c r="C139" t="s">
        <v>297</v>
      </c>
      <c r="D139" t="s">
        <v>298</v>
      </c>
    </row>
    <row r="140" spans="1:4">
      <c r="A140" t="s">
        <v>291</v>
      </c>
      <c r="B140">
        <v>82</v>
      </c>
      <c r="C140" t="s">
        <v>299</v>
      </c>
      <c r="D140" t="s">
        <v>300</v>
      </c>
    </row>
    <row r="142" spans="1:4">
      <c r="A142" t="s">
        <v>301</v>
      </c>
      <c r="B142">
        <v>83</v>
      </c>
      <c r="C142" t="s">
        <v>301</v>
      </c>
      <c r="D142" t="s">
        <v>302</v>
      </c>
    </row>
    <row r="143" spans="1:4">
      <c r="A143" t="s">
        <v>301</v>
      </c>
      <c r="B143">
        <v>83</v>
      </c>
      <c r="C143" t="s">
        <v>303</v>
      </c>
      <c r="D143" t="s">
        <v>304</v>
      </c>
    </row>
    <row r="145" spans="1:4">
      <c r="A145" t="s">
        <v>305</v>
      </c>
      <c r="B145">
        <v>84</v>
      </c>
      <c r="C145" t="s">
        <v>306</v>
      </c>
      <c r="D145" t="s">
        <v>307</v>
      </c>
    </row>
    <row r="146" spans="1:4">
      <c r="A146" t="s">
        <v>305</v>
      </c>
      <c r="B146">
        <v>84</v>
      </c>
      <c r="C146" t="s">
        <v>308</v>
      </c>
      <c r="D146" t="s">
        <v>309</v>
      </c>
    </row>
    <row r="148" spans="1:4">
      <c r="A148" t="s">
        <v>310</v>
      </c>
      <c r="B148">
        <v>85</v>
      </c>
      <c r="C148" t="s">
        <v>311</v>
      </c>
      <c r="D148" t="s">
        <v>312</v>
      </c>
    </row>
    <row r="149" spans="1:4">
      <c r="A149" t="s">
        <v>310</v>
      </c>
      <c r="B149">
        <v>85</v>
      </c>
      <c r="C149" t="s">
        <v>313</v>
      </c>
      <c r="D149" t="s">
        <v>314</v>
      </c>
    </row>
    <row r="150" spans="1:4">
      <c r="A150" t="s">
        <v>310</v>
      </c>
      <c r="B150">
        <v>85</v>
      </c>
      <c r="C150" t="s">
        <v>315</v>
      </c>
      <c r="D150" t="s">
        <v>316</v>
      </c>
    </row>
    <row r="151" spans="1:4">
      <c r="A151" t="s">
        <v>310</v>
      </c>
      <c r="B151">
        <v>85</v>
      </c>
      <c r="C151" t="s">
        <v>317</v>
      </c>
      <c r="D151" t="s">
        <v>318</v>
      </c>
    </row>
    <row r="152" spans="1:4">
      <c r="A152" t="s">
        <v>310</v>
      </c>
      <c r="B152">
        <v>85</v>
      </c>
      <c r="C152" t="s">
        <v>319</v>
      </c>
      <c r="D152" t="s">
        <v>320</v>
      </c>
    </row>
    <row r="154" spans="1:4">
      <c r="A154" t="s">
        <v>321</v>
      </c>
      <c r="B154">
        <v>86</v>
      </c>
      <c r="C154" t="s">
        <v>321</v>
      </c>
      <c r="D154" t="s">
        <v>322</v>
      </c>
    </row>
    <row r="155" spans="1:4">
      <c r="A155" t="s">
        <v>321</v>
      </c>
      <c r="B155">
        <v>86</v>
      </c>
      <c r="C155" t="s">
        <v>323</v>
      </c>
      <c r="D155" t="s">
        <v>324</v>
      </c>
    </row>
    <row r="157" spans="1:4">
      <c r="A157" t="s">
        <v>325</v>
      </c>
      <c r="B157">
        <v>87</v>
      </c>
      <c r="C157" t="s">
        <v>326</v>
      </c>
      <c r="D157" t="s">
        <v>327</v>
      </c>
    </row>
    <row r="158" spans="1:4">
      <c r="A158" t="s">
        <v>325</v>
      </c>
      <c r="B158">
        <v>87</v>
      </c>
      <c r="C158" t="s">
        <v>328</v>
      </c>
      <c r="D158" t="s">
        <v>329</v>
      </c>
    </row>
    <row r="159" spans="1:4">
      <c r="A159" t="s">
        <v>325</v>
      </c>
      <c r="B159">
        <v>87</v>
      </c>
      <c r="C159" t="s">
        <v>330</v>
      </c>
      <c r="D159" t="s">
        <v>331</v>
      </c>
    </row>
    <row r="160" spans="1:4">
      <c r="A160" t="s">
        <v>325</v>
      </c>
      <c r="B160">
        <v>87</v>
      </c>
      <c r="C160" t="s">
        <v>332</v>
      </c>
      <c r="D160" t="s">
        <v>333</v>
      </c>
    </row>
    <row r="161" spans="1:4">
      <c r="A161" t="s">
        <v>325</v>
      </c>
      <c r="B161">
        <v>87</v>
      </c>
      <c r="C161" t="s">
        <v>334</v>
      </c>
      <c r="D161" t="s">
        <v>335</v>
      </c>
    </row>
    <row r="163" spans="1:4">
      <c r="A163" t="s">
        <v>336</v>
      </c>
      <c r="B163">
        <v>88</v>
      </c>
      <c r="C163" t="s">
        <v>337</v>
      </c>
      <c r="D163" t="s">
        <v>338</v>
      </c>
    </row>
    <row r="164" spans="1:4">
      <c r="A164" t="s">
        <v>336</v>
      </c>
      <c r="B164">
        <v>88</v>
      </c>
      <c r="C164" t="s">
        <v>339</v>
      </c>
      <c r="D164" t="s">
        <v>340</v>
      </c>
    </row>
    <row r="165" spans="1:4">
      <c r="A165" t="s">
        <v>336</v>
      </c>
      <c r="B165">
        <v>88</v>
      </c>
      <c r="C165" t="s">
        <v>341</v>
      </c>
      <c r="D165" t="s">
        <v>342</v>
      </c>
    </row>
    <row r="166" spans="1:4">
      <c r="A166" t="s">
        <v>336</v>
      </c>
      <c r="B166">
        <v>88</v>
      </c>
      <c r="C166" t="s">
        <v>343</v>
      </c>
      <c r="D166" t="s">
        <v>344</v>
      </c>
    </row>
    <row r="167" spans="1:4">
      <c r="A167" t="s">
        <v>336</v>
      </c>
      <c r="B167">
        <v>88</v>
      </c>
      <c r="C167" t="s">
        <v>345</v>
      </c>
      <c r="D167" t="s">
        <v>346</v>
      </c>
    </row>
    <row r="168" spans="1:4">
      <c r="A168" t="s">
        <v>336</v>
      </c>
      <c r="B168">
        <v>88</v>
      </c>
      <c r="C168" t="s">
        <v>347</v>
      </c>
      <c r="D168" t="s">
        <v>348</v>
      </c>
    </row>
    <row r="169" spans="1:4">
      <c r="A169" t="s">
        <v>336</v>
      </c>
      <c r="B169">
        <v>88</v>
      </c>
      <c r="C169" t="s">
        <v>349</v>
      </c>
      <c r="D169" t="s">
        <v>350</v>
      </c>
    </row>
    <row r="171" spans="1:4">
      <c r="A171" t="s">
        <v>351</v>
      </c>
      <c r="B171">
        <v>89</v>
      </c>
      <c r="C171" t="s">
        <v>352</v>
      </c>
      <c r="D171" t="s">
        <v>353</v>
      </c>
    </row>
    <row r="172" spans="1:4">
      <c r="A172" t="s">
        <v>351</v>
      </c>
      <c r="B172">
        <v>89</v>
      </c>
      <c r="C172" t="s">
        <v>354</v>
      </c>
      <c r="D172" t="s">
        <v>355</v>
      </c>
    </row>
    <row r="173" spans="1:4">
      <c r="A173" t="s">
        <v>351</v>
      </c>
      <c r="B173">
        <v>89</v>
      </c>
      <c r="C173" t="s">
        <v>356</v>
      </c>
      <c r="D173" t="s">
        <v>357</v>
      </c>
    </row>
    <row r="175" spans="1:4">
      <c r="A175" t="s">
        <v>358</v>
      </c>
      <c r="B175">
        <v>90</v>
      </c>
      <c r="C175" t="s">
        <v>359</v>
      </c>
      <c r="D175" t="s">
        <v>360</v>
      </c>
    </row>
    <row r="176" spans="1:4">
      <c r="A176" t="s">
        <v>358</v>
      </c>
      <c r="B176">
        <v>90</v>
      </c>
      <c r="C176" t="s">
        <v>361</v>
      </c>
      <c r="D176" t="s">
        <v>362</v>
      </c>
    </row>
    <row r="177" spans="1:4">
      <c r="A177" t="s">
        <v>358</v>
      </c>
      <c r="B177">
        <v>90</v>
      </c>
      <c r="C177" t="s">
        <v>363</v>
      </c>
      <c r="D177" t="s">
        <v>364</v>
      </c>
    </row>
    <row r="178" spans="1:4">
      <c r="A178" t="s">
        <v>358</v>
      </c>
      <c r="B178">
        <v>90</v>
      </c>
      <c r="C178" t="s">
        <v>365</v>
      </c>
      <c r="D178" t="s">
        <v>366</v>
      </c>
    </row>
    <row r="179" spans="1:4">
      <c r="A179" t="s">
        <v>358</v>
      </c>
      <c r="B179">
        <v>90</v>
      </c>
      <c r="C179" t="s">
        <v>367</v>
      </c>
      <c r="D179" t="s">
        <v>368</v>
      </c>
    </row>
    <row r="181" spans="1:4">
      <c r="A181" t="s">
        <v>369</v>
      </c>
      <c r="B181">
        <v>91</v>
      </c>
      <c r="C181" t="s">
        <v>370</v>
      </c>
      <c r="D181" t="s">
        <v>371</v>
      </c>
    </row>
    <row r="182" spans="1:4">
      <c r="A182" t="s">
        <v>369</v>
      </c>
      <c r="B182">
        <v>91</v>
      </c>
      <c r="C182" t="s">
        <v>372</v>
      </c>
      <c r="D182" t="s">
        <v>373</v>
      </c>
    </row>
    <row r="183" spans="1:4">
      <c r="A183" t="s">
        <v>369</v>
      </c>
      <c r="B183">
        <v>91</v>
      </c>
      <c r="C183" t="s">
        <v>374</v>
      </c>
      <c r="D183" t="s">
        <v>375</v>
      </c>
    </row>
    <row r="184" spans="1:4">
      <c r="A184" t="s">
        <v>369</v>
      </c>
      <c r="B184">
        <v>91</v>
      </c>
      <c r="C184" t="s">
        <v>376</v>
      </c>
      <c r="D184" t="s">
        <v>377</v>
      </c>
    </row>
    <row r="185" spans="1:4">
      <c r="A185" t="s">
        <v>369</v>
      </c>
      <c r="B185">
        <v>91</v>
      </c>
      <c r="C185" t="s">
        <v>378</v>
      </c>
      <c r="D185" t="s">
        <v>379</v>
      </c>
    </row>
    <row r="187" spans="1:4">
      <c r="A187" t="s">
        <v>380</v>
      </c>
      <c r="B187">
        <v>92</v>
      </c>
      <c r="C187" t="s">
        <v>381</v>
      </c>
      <c r="D187" t="s">
        <v>382</v>
      </c>
    </row>
    <row r="188" spans="1:4">
      <c r="A188" t="s">
        <v>380</v>
      </c>
      <c r="B188">
        <v>92</v>
      </c>
      <c r="C188" t="s">
        <v>383</v>
      </c>
      <c r="D188" t="s">
        <v>384</v>
      </c>
    </row>
    <row r="189" spans="1:4">
      <c r="A189" t="s">
        <v>380</v>
      </c>
      <c r="B189">
        <v>92</v>
      </c>
      <c r="C189" t="s">
        <v>385</v>
      </c>
      <c r="D189" t="s">
        <v>386</v>
      </c>
    </row>
    <row r="190" spans="1:4">
      <c r="A190" t="s">
        <v>380</v>
      </c>
      <c r="B190">
        <v>92</v>
      </c>
      <c r="C190" t="s">
        <v>387</v>
      </c>
      <c r="D190" t="s">
        <v>388</v>
      </c>
    </row>
    <row r="191" spans="1:4">
      <c r="A191" t="s">
        <v>380</v>
      </c>
      <c r="B191">
        <v>92</v>
      </c>
      <c r="C191" t="s">
        <v>389</v>
      </c>
      <c r="D191" t="s">
        <v>390</v>
      </c>
    </row>
    <row r="193" spans="1:4">
      <c r="A193" t="s">
        <v>391</v>
      </c>
      <c r="B193">
        <v>93</v>
      </c>
      <c r="C193" t="s">
        <v>392</v>
      </c>
      <c r="D193" t="s">
        <v>393</v>
      </c>
    </row>
    <row r="194" spans="1:4">
      <c r="A194" t="s">
        <v>391</v>
      </c>
      <c r="B194">
        <v>93</v>
      </c>
      <c r="C194" t="s">
        <v>394</v>
      </c>
      <c r="D194" t="s">
        <v>395</v>
      </c>
    </row>
    <row r="195" spans="1:4">
      <c r="A195" t="s">
        <v>391</v>
      </c>
      <c r="B195">
        <v>93</v>
      </c>
      <c r="C195" t="s">
        <v>396</v>
      </c>
      <c r="D195" t="s">
        <v>397</v>
      </c>
    </row>
    <row r="196" spans="1:4">
      <c r="A196" t="s">
        <v>391</v>
      </c>
      <c r="B196">
        <v>93</v>
      </c>
      <c r="C196" t="s">
        <v>398</v>
      </c>
      <c r="D196" t="s">
        <v>399</v>
      </c>
    </row>
    <row r="197" spans="1:4">
      <c r="A197" t="s">
        <v>391</v>
      </c>
      <c r="B197">
        <v>93</v>
      </c>
      <c r="C197" t="s">
        <v>400</v>
      </c>
      <c r="D197" t="s">
        <v>401</v>
      </c>
    </row>
    <row r="198" spans="1:4">
      <c r="A198" t="s">
        <v>391</v>
      </c>
      <c r="B198">
        <v>93</v>
      </c>
      <c r="C198" t="s">
        <v>402</v>
      </c>
      <c r="D198" t="s">
        <v>403</v>
      </c>
    </row>
  </sheetData>
  <sortState xmlns:xlrd2="http://schemas.microsoft.com/office/spreadsheetml/2017/richdata2" ref="A2:D239">
    <sortCondition ref="B2:B239"/>
    <sortCondition ref="D2:D2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JUDGING SCHEDULE</vt:lpstr>
      <vt:lpstr>styles by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MCCURDY</dc:creator>
  <cp:keywords/>
  <dc:description/>
  <cp:lastModifiedBy>MARK MCCURDY</cp:lastModifiedBy>
  <cp:revision/>
  <dcterms:created xsi:type="dcterms:W3CDTF">2025-12-22T23:43:40Z</dcterms:created>
  <dcterms:modified xsi:type="dcterms:W3CDTF">2025-12-24T14:31:31Z</dcterms:modified>
  <cp:category/>
  <cp:contentStatus/>
</cp:coreProperties>
</file>